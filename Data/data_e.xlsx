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en\Documents\University\PhD\ML\"/>
    </mc:Choice>
  </mc:AlternateContent>
  <xr:revisionPtr revIDLastSave="0" documentId="13_ncr:1_{4E37EE0B-E5CF-43AB-B698-F350CDEB35B3}" xr6:coauthVersionLast="47" xr6:coauthVersionMax="47" xr10:uidLastSave="{00000000-0000-0000-0000-000000000000}"/>
  <bookViews>
    <workbookView xWindow="-105" yWindow="0" windowWidth="19410" windowHeight="20985" xr2:uid="{0F7BE92C-EAD9-4BCE-847A-4025BD4DB18E}"/>
  </bookViews>
  <sheets>
    <sheet name="Sheet4" sheetId="4" r:id="rId1"/>
    <sheet name="Sheet5" sheetId="5" r:id="rId2"/>
    <sheet name="Sheet1" sheetId="1" r:id="rId3"/>
    <sheet name="Sheet2" sheetId="2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4" l="1"/>
  <c r="L49" i="4"/>
  <c r="I49" i="4"/>
  <c r="F49" i="4"/>
  <c r="D49" i="4"/>
  <c r="E49" i="4" s="1"/>
  <c r="N48" i="4"/>
  <c r="L48" i="4"/>
  <c r="I48" i="4"/>
  <c r="F48" i="4"/>
  <c r="D48" i="4"/>
  <c r="E48" i="4" s="1"/>
  <c r="N47" i="4"/>
  <c r="L47" i="4"/>
  <c r="I47" i="4"/>
  <c r="F47" i="4"/>
  <c r="D47" i="4"/>
  <c r="E47" i="4" s="1"/>
  <c r="N46" i="4"/>
  <c r="L46" i="4"/>
  <c r="I46" i="4"/>
  <c r="F46" i="4"/>
  <c r="D46" i="4"/>
  <c r="E46" i="4" s="1"/>
  <c r="L45" i="4"/>
  <c r="I45" i="4"/>
  <c r="F45" i="4"/>
  <c r="D45" i="4"/>
  <c r="E45" i="4" s="1"/>
  <c r="N44" i="4"/>
  <c r="L44" i="4"/>
  <c r="I44" i="4"/>
  <c r="F44" i="4"/>
  <c r="D44" i="4"/>
  <c r="E44" i="4" s="1"/>
  <c r="N43" i="4"/>
  <c r="L43" i="4"/>
  <c r="I43" i="4"/>
  <c r="F43" i="4"/>
  <c r="D43" i="4"/>
  <c r="E43" i="4" s="1"/>
  <c r="N42" i="4"/>
  <c r="L42" i="4"/>
  <c r="I42" i="4"/>
  <c r="F42" i="4"/>
  <c r="D42" i="4"/>
  <c r="E42" i="4" s="1"/>
  <c r="N41" i="4"/>
  <c r="L41" i="4"/>
  <c r="I41" i="4"/>
  <c r="F41" i="4"/>
  <c r="D41" i="4"/>
  <c r="E41" i="4" s="1"/>
  <c r="N40" i="4"/>
  <c r="L40" i="4"/>
  <c r="I40" i="4"/>
  <c r="F40" i="4"/>
  <c r="D40" i="4"/>
  <c r="E40" i="4" s="1"/>
  <c r="N39" i="4"/>
  <c r="L39" i="4"/>
  <c r="I39" i="4"/>
  <c r="F39" i="4"/>
  <c r="D39" i="4"/>
  <c r="E39" i="4" s="1"/>
  <c r="N38" i="4"/>
  <c r="L38" i="4"/>
  <c r="I38" i="4"/>
  <c r="F38" i="4"/>
  <c r="D38" i="4"/>
  <c r="E38" i="4" s="1"/>
  <c r="N37" i="4"/>
  <c r="L37" i="4"/>
  <c r="I37" i="4"/>
  <c r="F37" i="4"/>
  <c r="D37" i="4"/>
  <c r="E37" i="4" s="1"/>
  <c r="N36" i="4"/>
  <c r="L36" i="4"/>
  <c r="I36" i="4"/>
  <c r="F36" i="4"/>
  <c r="D36" i="4"/>
  <c r="E36" i="4" s="1"/>
  <c r="N35" i="4"/>
  <c r="L35" i="4"/>
  <c r="I35" i="4"/>
  <c r="F35" i="4"/>
  <c r="D35" i="4"/>
  <c r="E35" i="4" s="1"/>
  <c r="N34" i="4"/>
  <c r="L34" i="4"/>
  <c r="I34" i="4"/>
  <c r="F34" i="4"/>
  <c r="D34" i="4"/>
  <c r="E34" i="4" s="1"/>
  <c r="N33" i="4"/>
  <c r="L33" i="4"/>
  <c r="I33" i="4"/>
  <c r="F33" i="4"/>
  <c r="D33" i="4"/>
  <c r="E33" i="4" s="1"/>
  <c r="N32" i="4"/>
  <c r="L32" i="4"/>
  <c r="I32" i="4"/>
  <c r="F32" i="4"/>
  <c r="D32" i="4"/>
  <c r="E32" i="4" s="1"/>
  <c r="N31" i="4"/>
  <c r="L31" i="4"/>
  <c r="I31" i="4"/>
  <c r="F31" i="4"/>
  <c r="D31" i="4"/>
  <c r="E31" i="4" s="1"/>
  <c r="N30" i="4"/>
  <c r="L30" i="4"/>
  <c r="I30" i="4"/>
  <c r="F30" i="4"/>
  <c r="D30" i="4"/>
  <c r="E30" i="4" s="1"/>
  <c r="N29" i="4"/>
  <c r="L29" i="4"/>
  <c r="I29" i="4"/>
  <c r="F29" i="4"/>
  <c r="D29" i="4"/>
  <c r="E29" i="4" s="1"/>
  <c r="N28" i="4"/>
  <c r="L28" i="4"/>
  <c r="I28" i="4"/>
  <c r="F28" i="4"/>
  <c r="D28" i="4"/>
  <c r="E28" i="4" s="1"/>
  <c r="N27" i="4"/>
  <c r="L27" i="4"/>
  <c r="I27" i="4"/>
  <c r="F27" i="4"/>
  <c r="D27" i="4"/>
  <c r="E27" i="4" s="1"/>
  <c r="N26" i="4"/>
  <c r="L26" i="4"/>
  <c r="I26" i="4"/>
  <c r="F26" i="4"/>
  <c r="D26" i="4"/>
  <c r="E26" i="4" s="1"/>
  <c r="N25" i="4"/>
  <c r="L25" i="4"/>
  <c r="I25" i="4"/>
  <c r="F25" i="4"/>
  <c r="D25" i="4"/>
  <c r="E25" i="4" s="1"/>
  <c r="N24" i="4"/>
  <c r="L24" i="4"/>
  <c r="I24" i="4"/>
  <c r="F24" i="4"/>
  <c r="D24" i="4"/>
  <c r="E24" i="4" s="1"/>
  <c r="N23" i="4"/>
  <c r="L23" i="4"/>
  <c r="I23" i="4"/>
  <c r="F23" i="4"/>
  <c r="D23" i="4"/>
  <c r="E23" i="4" s="1"/>
  <c r="N22" i="4"/>
  <c r="L22" i="4"/>
  <c r="I22" i="4"/>
  <c r="F22" i="4"/>
  <c r="D22" i="4"/>
  <c r="E22" i="4" s="1"/>
  <c r="N21" i="4"/>
  <c r="L21" i="4"/>
  <c r="I21" i="4"/>
  <c r="F21" i="4"/>
  <c r="D21" i="4"/>
  <c r="E21" i="4" s="1"/>
  <c r="N20" i="4"/>
  <c r="L20" i="4"/>
  <c r="I20" i="4"/>
  <c r="F20" i="4"/>
  <c r="D20" i="4"/>
  <c r="E20" i="4" s="1"/>
  <c r="N19" i="4"/>
  <c r="L19" i="4"/>
  <c r="I19" i="4"/>
  <c r="F19" i="4"/>
  <c r="D19" i="4"/>
  <c r="E19" i="4" s="1"/>
  <c r="N18" i="4"/>
  <c r="L18" i="4"/>
  <c r="I18" i="4"/>
  <c r="F18" i="4"/>
  <c r="D18" i="4"/>
  <c r="E18" i="4" s="1"/>
  <c r="N17" i="4"/>
  <c r="L17" i="4"/>
  <c r="I17" i="4"/>
  <c r="F17" i="4"/>
  <c r="D17" i="4"/>
  <c r="E17" i="4" s="1"/>
  <c r="N16" i="4"/>
  <c r="L16" i="4"/>
  <c r="I16" i="4"/>
  <c r="F16" i="4"/>
  <c r="D16" i="4"/>
  <c r="E16" i="4" s="1"/>
  <c r="N15" i="4"/>
  <c r="L15" i="4"/>
  <c r="I15" i="4"/>
  <c r="F15" i="4"/>
  <c r="D15" i="4"/>
  <c r="E15" i="4" s="1"/>
  <c r="N14" i="4"/>
  <c r="L14" i="4"/>
  <c r="I14" i="4"/>
  <c r="F14" i="4"/>
  <c r="D14" i="4"/>
  <c r="E14" i="4" s="1"/>
  <c r="N13" i="4"/>
  <c r="L13" i="4"/>
  <c r="I13" i="4"/>
  <c r="F13" i="4"/>
  <c r="D13" i="4"/>
  <c r="E13" i="4" s="1"/>
  <c r="N12" i="4"/>
  <c r="L12" i="4"/>
  <c r="I12" i="4"/>
  <c r="F12" i="4"/>
  <c r="D12" i="4"/>
  <c r="E12" i="4" s="1"/>
  <c r="N11" i="4"/>
  <c r="L11" i="4"/>
  <c r="I11" i="4"/>
  <c r="F11" i="4"/>
  <c r="D11" i="4"/>
  <c r="E11" i="4" s="1"/>
  <c r="N10" i="4"/>
  <c r="L10" i="4"/>
  <c r="I10" i="4"/>
  <c r="F10" i="4"/>
  <c r="D10" i="4"/>
  <c r="E10" i="4" s="1"/>
  <c r="N9" i="4"/>
  <c r="L9" i="4"/>
  <c r="I9" i="4"/>
  <c r="F9" i="4"/>
  <c r="D9" i="4"/>
  <c r="E9" i="4" s="1"/>
  <c r="N8" i="4"/>
  <c r="L8" i="4"/>
  <c r="I8" i="4"/>
  <c r="F8" i="4"/>
  <c r="D8" i="4"/>
  <c r="E8" i="4" s="1"/>
  <c r="N7" i="4"/>
  <c r="L7" i="4"/>
  <c r="I7" i="4"/>
  <c r="F7" i="4"/>
  <c r="D7" i="4"/>
  <c r="E7" i="4" s="1"/>
  <c r="N6" i="4"/>
  <c r="L6" i="4"/>
  <c r="I6" i="4"/>
  <c r="F6" i="4"/>
  <c r="D6" i="4"/>
  <c r="E6" i="4" s="1"/>
  <c r="N5" i="4"/>
  <c r="L5" i="4"/>
  <c r="I5" i="4"/>
  <c r="F5" i="4"/>
  <c r="D5" i="4"/>
  <c r="E5" i="4" s="1"/>
  <c r="N4" i="4"/>
  <c r="L4" i="4"/>
  <c r="I4" i="4"/>
  <c r="F4" i="4"/>
  <c r="D4" i="4"/>
  <c r="E4" i="4" s="1"/>
  <c r="N3" i="4"/>
  <c r="L3" i="4"/>
  <c r="I3" i="4"/>
  <c r="F3" i="4"/>
  <c r="D3" i="4"/>
  <c r="E3" i="4" s="1"/>
  <c r="N2" i="4"/>
  <c r="I2" i="4"/>
  <c r="F2" i="4"/>
  <c r="D2" i="4"/>
  <c r="E2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2" i="3"/>
  <c r="AR11" i="2"/>
  <c r="AS11" i="2"/>
  <c r="AT11" i="2"/>
  <c r="AU11" i="2"/>
  <c r="AV11" i="2"/>
  <c r="AW11" i="2"/>
  <c r="AX11" i="2"/>
  <c r="AR12" i="2"/>
  <c r="AS12" i="2"/>
  <c r="AT12" i="2"/>
  <c r="AU12" i="2"/>
  <c r="AV12" i="2"/>
  <c r="AW12" i="2"/>
  <c r="AX12" i="2"/>
  <c r="AR13" i="2"/>
  <c r="AS13" i="2"/>
  <c r="AT13" i="2"/>
  <c r="AU13" i="2"/>
  <c r="AV13" i="2"/>
  <c r="AW13" i="2"/>
  <c r="AX13" i="2"/>
  <c r="AR14" i="2"/>
  <c r="AS14" i="2"/>
  <c r="AT14" i="2"/>
  <c r="AU14" i="2"/>
  <c r="AV14" i="2"/>
  <c r="AW14" i="2"/>
  <c r="AX14" i="2"/>
  <c r="AR15" i="2"/>
  <c r="AS15" i="2"/>
  <c r="AT15" i="2"/>
  <c r="AU15" i="2"/>
  <c r="AV15" i="2"/>
  <c r="AW15" i="2"/>
  <c r="AX15" i="2"/>
  <c r="AR16" i="2"/>
  <c r="AS16" i="2"/>
  <c r="AT16" i="2"/>
  <c r="AU16" i="2"/>
  <c r="AV16" i="2"/>
  <c r="AW16" i="2"/>
  <c r="AX16" i="2"/>
  <c r="AR17" i="2"/>
  <c r="AS17" i="2"/>
  <c r="AT17" i="2"/>
  <c r="AU17" i="2"/>
  <c r="AV17" i="2"/>
  <c r="AW17" i="2"/>
  <c r="AX17" i="2"/>
  <c r="AR18" i="2"/>
  <c r="AS18" i="2"/>
  <c r="AT18" i="2"/>
  <c r="AU18" i="2"/>
  <c r="AV18" i="2"/>
  <c r="AW18" i="2"/>
  <c r="AX18" i="2"/>
  <c r="AQ18" i="2"/>
  <c r="AQ17" i="2"/>
  <c r="AQ16" i="2"/>
  <c r="AQ15" i="2"/>
  <c r="AQ14" i="2"/>
  <c r="AQ13" i="2"/>
  <c r="AQ12" i="2"/>
  <c r="AQ11" i="2"/>
  <c r="AH11" i="2"/>
  <c r="AI11" i="2"/>
  <c r="AJ11" i="2"/>
  <c r="AK11" i="2"/>
  <c r="AL11" i="2"/>
  <c r="AM11" i="2"/>
  <c r="AN11" i="2"/>
  <c r="AH12" i="2"/>
  <c r="AI12" i="2"/>
  <c r="AJ12" i="2"/>
  <c r="AK12" i="2"/>
  <c r="AL12" i="2"/>
  <c r="AM12" i="2"/>
  <c r="AN12" i="2"/>
  <c r="AH13" i="2"/>
  <c r="AI13" i="2"/>
  <c r="AJ13" i="2"/>
  <c r="AK13" i="2"/>
  <c r="AL13" i="2"/>
  <c r="AM13" i="2"/>
  <c r="AN13" i="2"/>
  <c r="AH14" i="2"/>
  <c r="AI14" i="2"/>
  <c r="AJ14" i="2"/>
  <c r="AK14" i="2"/>
  <c r="AL14" i="2"/>
  <c r="AM14" i="2"/>
  <c r="AN14" i="2"/>
  <c r="AH15" i="2"/>
  <c r="AI15" i="2"/>
  <c r="AJ15" i="2"/>
  <c r="AK15" i="2"/>
  <c r="AL15" i="2"/>
  <c r="AM15" i="2"/>
  <c r="AN15" i="2"/>
  <c r="AH16" i="2"/>
  <c r="AI16" i="2"/>
  <c r="AJ16" i="2"/>
  <c r="AK16" i="2"/>
  <c r="AL16" i="2"/>
  <c r="AM16" i="2"/>
  <c r="AN16" i="2"/>
  <c r="AH17" i="2"/>
  <c r="AI17" i="2"/>
  <c r="AJ17" i="2"/>
  <c r="AK17" i="2"/>
  <c r="AL17" i="2"/>
  <c r="AM17" i="2"/>
  <c r="AN17" i="2"/>
  <c r="AH18" i="2"/>
  <c r="AI18" i="2"/>
  <c r="AJ18" i="2"/>
  <c r="AK18" i="2"/>
  <c r="AL18" i="2"/>
  <c r="AM18" i="2"/>
  <c r="AN18" i="2"/>
  <c r="AG18" i="2"/>
  <c r="AG17" i="2"/>
  <c r="AG16" i="2"/>
  <c r="AG15" i="2"/>
  <c r="AG14" i="2"/>
  <c r="AG13" i="2"/>
  <c r="AG12" i="2"/>
  <c r="AG11" i="2"/>
  <c r="W7" i="1"/>
  <c r="W24" i="1"/>
  <c r="W40" i="1"/>
  <c r="W44" i="1"/>
  <c r="W37" i="1"/>
  <c r="W23" i="1"/>
  <c r="W21" i="1"/>
  <c r="W20" i="1"/>
  <c r="W8" i="1"/>
  <c r="W6" i="1"/>
  <c r="W3" i="1"/>
  <c r="AC63" i="2"/>
  <c r="AC62" i="2"/>
  <c r="AC61" i="2"/>
  <c r="AC60" i="2"/>
  <c r="AC59" i="2"/>
  <c r="AC58" i="2"/>
  <c r="AC56" i="2"/>
  <c r="AC55" i="2"/>
  <c r="AC54" i="2"/>
  <c r="AC53" i="2"/>
  <c r="AC52" i="2"/>
  <c r="AC51" i="2"/>
  <c r="AC49" i="2"/>
  <c r="AC48" i="2"/>
  <c r="AC47" i="2"/>
  <c r="AC46" i="2"/>
  <c r="AC45" i="2"/>
  <c r="AC44" i="2"/>
  <c r="AC42" i="2"/>
  <c r="AC41" i="2"/>
  <c r="AC40" i="2"/>
  <c r="AC39" i="2"/>
  <c r="AC38" i="2"/>
  <c r="AC37" i="2"/>
  <c r="AC35" i="2"/>
  <c r="AC34" i="2"/>
  <c r="AC33" i="2"/>
  <c r="AC32" i="2"/>
  <c r="AC31" i="2"/>
  <c r="AC30" i="2"/>
  <c r="AC28" i="2"/>
  <c r="AC27" i="2"/>
  <c r="AC26" i="2"/>
  <c r="AC25" i="2"/>
  <c r="AC24" i="2"/>
  <c r="AC23" i="2"/>
  <c r="AC21" i="2"/>
  <c r="AC20" i="2"/>
  <c r="AC19" i="2"/>
  <c r="AC18" i="2"/>
  <c r="AC17" i="2"/>
  <c r="AC16" i="2"/>
  <c r="AC14" i="2"/>
  <c r="AB14" i="2"/>
  <c r="AA14" i="2"/>
  <c r="Z14" i="2"/>
  <c r="Y14" i="2"/>
  <c r="X14" i="2"/>
  <c r="W14" i="2"/>
  <c r="V14" i="2"/>
  <c r="AC13" i="2"/>
  <c r="AB13" i="2"/>
  <c r="AA13" i="2"/>
  <c r="Z13" i="2"/>
  <c r="Y13" i="2"/>
  <c r="X13" i="2"/>
  <c r="W13" i="2"/>
  <c r="V13" i="2"/>
  <c r="AC12" i="2"/>
  <c r="AB12" i="2"/>
  <c r="AA12" i="2"/>
  <c r="Z12" i="2"/>
  <c r="Y12" i="2"/>
  <c r="X12" i="2"/>
  <c r="W12" i="2"/>
  <c r="V12" i="2"/>
  <c r="AC11" i="2"/>
  <c r="AB11" i="2"/>
  <c r="AA11" i="2"/>
  <c r="Z11" i="2"/>
  <c r="Y11" i="2"/>
  <c r="X11" i="2"/>
  <c r="W11" i="2"/>
  <c r="V11" i="2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S59" i="2"/>
  <c r="S60" i="2"/>
  <c r="S61" i="2"/>
  <c r="S62" i="2"/>
  <c r="S63" i="2"/>
  <c r="S58" i="2"/>
  <c r="S52" i="2"/>
  <c r="S53" i="2"/>
  <c r="S54" i="2"/>
  <c r="S55" i="2"/>
  <c r="S56" i="2"/>
  <c r="S51" i="2"/>
  <c r="S45" i="2"/>
  <c r="S46" i="2"/>
  <c r="S47" i="2"/>
  <c r="S48" i="2"/>
  <c r="S49" i="2"/>
  <c r="S44" i="2"/>
  <c r="S38" i="2"/>
  <c r="S39" i="2"/>
  <c r="S40" i="2"/>
  <c r="S41" i="2"/>
  <c r="S42" i="2"/>
  <c r="S37" i="2"/>
  <c r="S31" i="2"/>
  <c r="S32" i="2"/>
  <c r="S33" i="2"/>
  <c r="S34" i="2"/>
  <c r="S35" i="2"/>
  <c r="S30" i="2"/>
  <c r="S24" i="2"/>
  <c r="S25" i="2"/>
  <c r="S26" i="2"/>
  <c r="S27" i="2"/>
  <c r="S28" i="2"/>
  <c r="S23" i="2"/>
  <c r="S17" i="2"/>
  <c r="S18" i="2"/>
  <c r="S19" i="2"/>
  <c r="S20" i="2"/>
  <c r="S21" i="2"/>
  <c r="S16" i="2"/>
  <c r="M9" i="2"/>
  <c r="N9" i="2"/>
  <c r="O9" i="2"/>
  <c r="P9" i="2"/>
  <c r="Q9" i="2"/>
  <c r="R9" i="2"/>
  <c r="S9" i="2"/>
  <c r="M10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M12" i="2"/>
  <c r="N12" i="2"/>
  <c r="O12" i="2"/>
  <c r="P12" i="2"/>
  <c r="Q12" i="2"/>
  <c r="R12" i="2"/>
  <c r="S12" i="2"/>
  <c r="M13" i="2"/>
  <c r="N13" i="2"/>
  <c r="O13" i="2"/>
  <c r="P13" i="2"/>
  <c r="Q13" i="2"/>
  <c r="R13" i="2"/>
  <c r="S13" i="2"/>
  <c r="M14" i="2"/>
  <c r="N14" i="2"/>
  <c r="O14" i="2"/>
  <c r="P14" i="2"/>
  <c r="Q14" i="2"/>
  <c r="R14" i="2"/>
  <c r="S14" i="2"/>
  <c r="L14" i="2"/>
  <c r="L13" i="2"/>
  <c r="L12" i="2"/>
  <c r="L11" i="2"/>
  <c r="L10" i="2"/>
  <c r="L9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W49" i="1"/>
  <c r="W4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2" i="1"/>
  <c r="N2" i="1" s="1"/>
  <c r="W47" i="1" l="1"/>
  <c r="W42" i="1"/>
  <c r="W34" i="1"/>
  <c r="W28" i="1"/>
  <c r="W5" i="1"/>
  <c r="W43" i="1"/>
  <c r="W41" i="1"/>
  <c r="W35" i="1"/>
  <c r="W33" i="1"/>
  <c r="W31" i="1"/>
  <c r="W27" i="1"/>
  <c r="W26" i="1"/>
  <c r="W17" i="1"/>
  <c r="W16" i="1"/>
  <c r="W15" i="1"/>
  <c r="W14" i="1"/>
  <c r="W12" i="1"/>
  <c r="W9" i="1"/>
  <c r="W11" i="1"/>
  <c r="W2" i="1"/>
  <c r="W30" i="1"/>
  <c r="W29" i="1"/>
  <c r="W13" i="1"/>
  <c r="W39" i="1"/>
  <c r="W38" i="1"/>
  <c r="W25" i="1"/>
  <c r="W36" i="1"/>
  <c r="W22" i="1"/>
  <c r="W10" i="1"/>
  <c r="W46" i="1"/>
  <c r="W32" i="1"/>
  <c r="W19" i="1"/>
  <c r="W18" i="1"/>
  <c r="W4" i="1"/>
</calcChain>
</file>

<file path=xl/sharedStrings.xml><?xml version="1.0" encoding="utf-8"?>
<sst xmlns="http://schemas.openxmlformats.org/spreadsheetml/2006/main" count="112" uniqueCount="45">
  <si>
    <t>c11</t>
  </si>
  <si>
    <t>c12</t>
  </si>
  <si>
    <t>c44</t>
  </si>
  <si>
    <t>c11-c12</t>
  </si>
  <si>
    <t>B</t>
  </si>
  <si>
    <t>S</t>
  </si>
  <si>
    <t>Y</t>
  </si>
  <si>
    <t>P</t>
  </si>
  <si>
    <t>D</t>
  </si>
  <si>
    <t>height</t>
  </si>
  <si>
    <t>dev</t>
  </si>
  <si>
    <t>tau</t>
  </si>
  <si>
    <t>kr</t>
  </si>
  <si>
    <t>M</t>
  </si>
  <si>
    <t>rho</t>
  </si>
  <si>
    <t>a</t>
  </si>
  <si>
    <t>amplitude</t>
  </si>
  <si>
    <t>log(kr)</t>
  </si>
  <si>
    <t>knr</t>
  </si>
  <si>
    <t>log(knr)</t>
  </si>
  <si>
    <t>norm_height</t>
  </si>
  <si>
    <t>x(Na)</t>
  </si>
  <si>
    <t>y(In)</t>
  </si>
  <si>
    <t>CABC</t>
  </si>
  <si>
    <t>CAIC</t>
  </si>
  <si>
    <t>VB_shift</t>
  </si>
  <si>
    <t>Eg</t>
  </si>
  <si>
    <t>xAg %</t>
  </si>
  <si>
    <t>yBi %</t>
  </si>
  <si>
    <t>x(Ag) EDX</t>
  </si>
  <si>
    <t>V</t>
  </si>
  <si>
    <t>Es</t>
  </si>
  <si>
    <t>HR</t>
  </si>
  <si>
    <t>--</t>
  </si>
  <si>
    <t>D_old</t>
  </si>
  <si>
    <t>PL max</t>
  </si>
  <si>
    <t>PL_max</t>
  </si>
  <si>
    <t>-</t>
  </si>
  <si>
    <t>y(Bi)</t>
  </si>
  <si>
    <t>y(Ag)</t>
  </si>
  <si>
    <t>Eg exp</t>
  </si>
  <si>
    <t>Eg_exp</t>
  </si>
  <si>
    <t>vt</t>
  </si>
  <si>
    <t>vl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</si>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</sst>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E806-F071-440B-8A54-541C400A5850}">
  <dimension ref="A1:AH49"/>
  <sheetViews>
    <sheetView tabSelected="1" topLeftCell="H1" workbookViewId="0">
      <selection activeCell="S34" sqref="S34"/>
    </sheetView>
  </sheetViews>
  <sheetFormatPr defaultRowHeight="15" x14ac:dyDescent="0.25"/>
  <sheetData>
    <row r="1" spans="1:34" x14ac:dyDescent="0.25">
      <c r="A1" t="s">
        <v>21</v>
      </c>
      <c r="B1" t="s">
        <v>22</v>
      </c>
      <c r="C1" t="s">
        <v>10</v>
      </c>
      <c r="D1" t="s">
        <v>13</v>
      </c>
      <c r="E1" t="s">
        <v>14</v>
      </c>
      <c r="F1" t="s">
        <v>30</v>
      </c>
      <c r="G1" t="s">
        <v>15</v>
      </c>
      <c r="H1" t="s">
        <v>9</v>
      </c>
      <c r="I1" t="s">
        <v>20</v>
      </c>
      <c r="J1" t="s">
        <v>11</v>
      </c>
      <c r="K1" t="s">
        <v>12</v>
      </c>
      <c r="L1" t="s">
        <v>17</v>
      </c>
      <c r="M1" t="s">
        <v>18</v>
      </c>
      <c r="N1" t="s">
        <v>19</v>
      </c>
      <c r="O1" t="s">
        <v>16</v>
      </c>
      <c r="P1" t="s">
        <v>25</v>
      </c>
      <c r="Q1" t="s">
        <v>26</v>
      </c>
      <c r="R1" t="s">
        <v>31</v>
      </c>
      <c r="S1" t="s">
        <v>32</v>
      </c>
      <c r="T1" t="s">
        <v>8</v>
      </c>
      <c r="U1" t="s">
        <v>34</v>
      </c>
      <c r="V1" t="s">
        <v>4</v>
      </c>
      <c r="W1" t="s">
        <v>5</v>
      </c>
      <c r="X1" t="s">
        <v>0</v>
      </c>
      <c r="Y1" t="s">
        <v>3</v>
      </c>
      <c r="Z1" t="s">
        <v>1</v>
      </c>
      <c r="AA1" t="s">
        <v>2</v>
      </c>
      <c r="AB1" t="s">
        <v>7</v>
      </c>
      <c r="AC1" t="s">
        <v>6</v>
      </c>
      <c r="AD1" t="s">
        <v>36</v>
      </c>
      <c r="AE1" t="s">
        <v>41</v>
      </c>
      <c r="AF1" t="s">
        <v>42</v>
      </c>
      <c r="AG1" t="s">
        <v>43</v>
      </c>
      <c r="AH1" t="s">
        <v>44</v>
      </c>
    </row>
    <row r="2" spans="1:34" x14ac:dyDescent="0.25">
      <c r="A2" s="1">
        <v>0.25</v>
      </c>
      <c r="B2" s="1">
        <v>0</v>
      </c>
      <c r="C2">
        <v>8.6697785065942404E-2</v>
      </c>
      <c r="D2">
        <f t="shared" ref="D2:D49" si="0">2*132.81+A2*22.99+(1-A2)*107.87+B2*114.82+(1-B2)*209.98+6*35.45</f>
        <v>774.95</v>
      </c>
      <c r="E2">
        <f t="shared" ref="E2:E49" si="1">D2/(G2)^3</f>
        <v>0.63323003180555304</v>
      </c>
      <c r="F2">
        <f>G2^3</f>
        <v>1223.804875126272</v>
      </c>
      <c r="G2">
        <v>10.696394030851099</v>
      </c>
      <c r="H2">
        <v>438.66712000000001</v>
      </c>
      <c r="I2">
        <f t="shared" ref="I2:I49" si="2">H2/4218</f>
        <v>0.1039988430535799</v>
      </c>
      <c r="J2">
        <v>4.9999799999999999</v>
      </c>
      <c r="K2">
        <v>0</v>
      </c>
      <c r="L2">
        <v>0</v>
      </c>
      <c r="M2">
        <v>200.00004000000001</v>
      </c>
      <c r="N2">
        <f t="shared" ref="N2:N49" si="3">LOG10(M2)</f>
        <v>2.3010300825228689</v>
      </c>
      <c r="O2">
        <v>12.27623</v>
      </c>
      <c r="P2">
        <v>-0.69306999999999996</v>
      </c>
      <c r="Q2">
        <v>1.78182</v>
      </c>
      <c r="R2">
        <v>0.76765000000000005</v>
      </c>
      <c r="S2">
        <v>0</v>
      </c>
      <c r="T2">
        <v>230.402192452496</v>
      </c>
      <c r="U2">
        <v>263.62691000000001</v>
      </c>
      <c r="V2">
        <v>28.63167</v>
      </c>
      <c r="W2">
        <v>19.623670000000001</v>
      </c>
      <c r="X2">
        <v>36.63693</v>
      </c>
      <c r="Y2">
        <v>12.00789</v>
      </c>
      <c r="Z2">
        <v>24.62904</v>
      </c>
      <c r="AA2">
        <v>29.636030000000002</v>
      </c>
      <c r="AB2">
        <v>0.21460000000000001</v>
      </c>
      <c r="AC2">
        <v>49.02899</v>
      </c>
      <c r="AD2">
        <v>2.0859999999999999</v>
      </c>
      <c r="AE2">
        <v>2.621</v>
      </c>
      <c r="AF2">
        <v>2183.536897685538</v>
      </c>
      <c r="AG2">
        <v>3622.2519141114772</v>
      </c>
      <c r="AH2">
        <v>2790.0009292887621</v>
      </c>
    </row>
    <row r="3" spans="1:34" x14ac:dyDescent="0.25">
      <c r="A3" s="1">
        <v>0.375</v>
      </c>
      <c r="B3" s="1">
        <v>0</v>
      </c>
      <c r="C3">
        <v>0.18134772101577901</v>
      </c>
      <c r="D3">
        <f t="shared" si="0"/>
        <v>764.34</v>
      </c>
      <c r="E3">
        <f t="shared" si="1"/>
        <v>0.6211548602609509</v>
      </c>
      <c r="F3">
        <f t="shared" ref="F3:F49" si="4">G3^3</f>
        <v>1230.5143997084658</v>
      </c>
      <c r="G3">
        <v>10.715906117673001</v>
      </c>
      <c r="H3">
        <v>439.71226000000001</v>
      </c>
      <c r="I3">
        <f t="shared" si="2"/>
        <v>0.10424662399241347</v>
      </c>
      <c r="J3">
        <v>17.188960000000002</v>
      </c>
      <c r="K3">
        <v>0.24585000000000001</v>
      </c>
      <c r="L3">
        <f t="shared" ref="L3:L49" si="5">LOG10(K3)</f>
        <v>-0.60932978737381971</v>
      </c>
      <c r="M3">
        <v>69.549809999999994</v>
      </c>
      <c r="N3">
        <f t="shared" si="3"/>
        <v>1.8422959479001102</v>
      </c>
      <c r="O3">
        <v>288.03050000000002</v>
      </c>
      <c r="P3">
        <v>-0.53591</v>
      </c>
      <c r="Q3">
        <v>1.69099</v>
      </c>
      <c r="R3">
        <v>0.82708000000000004</v>
      </c>
      <c r="S3">
        <v>13.9434</v>
      </c>
      <c r="T3">
        <v>232.03074715964905</v>
      </c>
      <c r="U3">
        <v>264.69308000000001</v>
      </c>
      <c r="V3">
        <v>26.263750000000002</v>
      </c>
      <c r="W3">
        <v>19.533650000000002</v>
      </c>
      <c r="X3">
        <v>34.477080000000001</v>
      </c>
      <c r="Y3">
        <v>12.319990000000001</v>
      </c>
      <c r="Z3">
        <v>22.15709</v>
      </c>
      <c r="AA3">
        <v>29.634810000000002</v>
      </c>
      <c r="AB3">
        <v>0.19336999999999999</v>
      </c>
      <c r="AC3">
        <v>48.319319999999998</v>
      </c>
      <c r="AD3">
        <v>2.056</v>
      </c>
      <c r="AE3">
        <v>2.6440000000000001</v>
      </c>
      <c r="AF3">
        <v>2208.0409895908442</v>
      </c>
      <c r="AG3">
        <v>3581.2739622471622</v>
      </c>
      <c r="AH3">
        <v>2801.5509500652374</v>
      </c>
    </row>
    <row r="4" spans="1:34" x14ac:dyDescent="0.25">
      <c r="A4" s="1">
        <v>0.5</v>
      </c>
      <c r="B4" s="1">
        <v>0</v>
      </c>
      <c r="C4">
        <v>0.19245671465106401</v>
      </c>
      <c r="D4">
        <f t="shared" si="0"/>
        <v>753.73</v>
      </c>
      <c r="E4">
        <f t="shared" si="1"/>
        <v>0.61051317093818724</v>
      </c>
      <c r="F4">
        <f t="shared" si="4"/>
        <v>1234.5843396658072</v>
      </c>
      <c r="G4">
        <v>10.727707442132701</v>
      </c>
      <c r="H4">
        <v>464.94135</v>
      </c>
      <c r="I4">
        <f t="shared" si="2"/>
        <v>0.1102279160739687</v>
      </c>
      <c r="J4">
        <v>40.396000000000001</v>
      </c>
      <c r="K4">
        <v>0.25674999999999998</v>
      </c>
      <c r="L4">
        <f t="shared" si="5"/>
        <v>-0.59048954773068418</v>
      </c>
      <c r="M4">
        <v>17.829740000000001</v>
      </c>
      <c r="N4">
        <f t="shared" si="3"/>
        <v>1.2511450101754338</v>
      </c>
      <c r="O4">
        <v>158.14230000000001</v>
      </c>
      <c r="P4">
        <v>-0.26489000000000001</v>
      </c>
      <c r="Q4">
        <v>1.3596600000000001</v>
      </c>
      <c r="R4">
        <v>0.89032999999999995</v>
      </c>
      <c r="S4">
        <v>22.999379999999999</v>
      </c>
      <c r="T4">
        <v>234.37995048712116</v>
      </c>
      <c r="U4">
        <v>266.15197999999998</v>
      </c>
      <c r="V4">
        <v>25.396529999999998</v>
      </c>
      <c r="W4">
        <v>19.468309999999999</v>
      </c>
      <c r="X4">
        <v>33.809690000000003</v>
      </c>
      <c r="Y4">
        <v>12.61974</v>
      </c>
      <c r="Z4">
        <v>21.18995</v>
      </c>
      <c r="AA4">
        <v>29.7776</v>
      </c>
      <c r="AB4">
        <v>0.18331</v>
      </c>
      <c r="AC4">
        <v>48.256659999999997</v>
      </c>
      <c r="AD4">
        <v>1.98</v>
      </c>
      <c r="AE4">
        <v>2.7240000000000002</v>
      </c>
      <c r="AF4">
        <v>2235.2140422084012</v>
      </c>
      <c r="AG4">
        <v>3589.4787033650396</v>
      </c>
      <c r="AH4">
        <v>2826.9513801465778</v>
      </c>
    </row>
    <row r="5" spans="1:34" x14ac:dyDescent="0.25">
      <c r="A5" s="1">
        <v>0.625</v>
      </c>
      <c r="B5" s="1">
        <v>0</v>
      </c>
      <c r="C5">
        <v>0.17653602385223599</v>
      </c>
      <c r="D5">
        <f t="shared" si="0"/>
        <v>743.12</v>
      </c>
      <c r="E5">
        <f t="shared" si="1"/>
        <v>0.59835490134078806</v>
      </c>
      <c r="F5">
        <f t="shared" si="4"/>
        <v>1241.9385189873497</v>
      </c>
      <c r="G5">
        <v>10.748966243445199</v>
      </c>
      <c r="H5">
        <v>454.97147999999999</v>
      </c>
      <c r="I5">
        <f t="shared" si="2"/>
        <v>0.10786426742532006</v>
      </c>
      <c r="J5">
        <v>87.079310000000007</v>
      </c>
      <c r="K5">
        <v>0.23063</v>
      </c>
      <c r="L5">
        <f t="shared" si="5"/>
        <v>-0.63708420100040541</v>
      </c>
      <c r="M5">
        <v>11.32648</v>
      </c>
      <c r="N5">
        <f t="shared" si="3"/>
        <v>1.0540949624586284</v>
      </c>
      <c r="O5">
        <v>0</v>
      </c>
      <c r="P5">
        <v>-0.14834</v>
      </c>
      <c r="Q5">
        <v>1.45211</v>
      </c>
      <c r="R5">
        <v>0.95372000000000001</v>
      </c>
      <c r="S5">
        <v>21.7788</v>
      </c>
      <c r="T5">
        <v>236.35361129924456</v>
      </c>
      <c r="U5">
        <v>265.69191000000001</v>
      </c>
      <c r="V5">
        <v>23.401759999999999</v>
      </c>
      <c r="W5">
        <v>19.075140000000001</v>
      </c>
      <c r="X5">
        <v>31.628579999999999</v>
      </c>
      <c r="Y5">
        <v>12.34024</v>
      </c>
      <c r="Z5">
        <v>19.288350000000001</v>
      </c>
      <c r="AA5">
        <v>30.04607</v>
      </c>
      <c r="AB5">
        <v>0.16105</v>
      </c>
      <c r="AC5">
        <v>47.592840000000002</v>
      </c>
      <c r="AD5">
        <v>1.9510000000000001</v>
      </c>
      <c r="AE5">
        <v>2.766</v>
      </c>
      <c r="AF5">
        <v>2263.6421315884668</v>
      </c>
      <c r="AG5">
        <v>3561.2800126381012</v>
      </c>
      <c r="AH5">
        <v>2843.4353509188372</v>
      </c>
    </row>
    <row r="6" spans="1:34" x14ac:dyDescent="0.25">
      <c r="A6" s="1">
        <v>0.75</v>
      </c>
      <c r="B6" s="1">
        <v>0</v>
      </c>
      <c r="C6">
        <v>0.13151122951717001</v>
      </c>
      <c r="D6">
        <f t="shared" si="0"/>
        <v>732.5100000000001</v>
      </c>
      <c r="E6">
        <f t="shared" si="1"/>
        <v>0.58739129581957183</v>
      </c>
      <c r="F6">
        <f t="shared" si="4"/>
        <v>1247.056272732043</v>
      </c>
      <c r="G6">
        <v>10.7637107126223</v>
      </c>
      <c r="H6">
        <v>472.74164999999999</v>
      </c>
      <c r="I6">
        <f t="shared" si="2"/>
        <v>0.11207720483641537</v>
      </c>
      <c r="J6">
        <v>131.37917999999999</v>
      </c>
      <c r="K6">
        <v>0.31389</v>
      </c>
      <c r="L6">
        <f t="shared" si="5"/>
        <v>-0.50322251996098877</v>
      </c>
      <c r="M6">
        <v>7.4848400000000002</v>
      </c>
      <c r="N6">
        <f t="shared" si="3"/>
        <v>0.87418252106386796</v>
      </c>
      <c r="O6">
        <v>157.9169</v>
      </c>
      <c r="P6">
        <v>-0.11409</v>
      </c>
      <c r="Q6">
        <v>1.6106499999999999</v>
      </c>
      <c r="R6">
        <v>1.01624</v>
      </c>
      <c r="S6">
        <v>21.209620000000001</v>
      </c>
      <c r="T6">
        <v>237.74798970992663</v>
      </c>
      <c r="U6">
        <v>265.79718000000003</v>
      </c>
      <c r="V6">
        <v>21.488610000000001</v>
      </c>
      <c r="W6">
        <v>18.726579999999998</v>
      </c>
      <c r="X6">
        <v>29.54842</v>
      </c>
      <c r="Y6">
        <v>12.08972</v>
      </c>
      <c r="Z6">
        <v>17.4587</v>
      </c>
      <c r="AA6">
        <v>30.147079999999999</v>
      </c>
      <c r="AB6">
        <v>0.13800999999999999</v>
      </c>
      <c r="AC6">
        <v>46.672379999999997</v>
      </c>
      <c r="AD6">
        <v>1.9370000000000001</v>
      </c>
      <c r="AE6">
        <v>2.9209999999999998</v>
      </c>
      <c r="AF6">
        <v>2285.2730066560366</v>
      </c>
      <c r="AG6">
        <v>3526.466963921046</v>
      </c>
      <c r="AH6">
        <v>2851.4748160467211</v>
      </c>
    </row>
    <row r="7" spans="1:34" x14ac:dyDescent="0.25">
      <c r="A7" s="1">
        <v>0.875</v>
      </c>
      <c r="B7" s="1">
        <v>0</v>
      </c>
      <c r="C7">
        <v>0.15748059661002101</v>
      </c>
      <c r="D7">
        <f t="shared" si="0"/>
        <v>721.9</v>
      </c>
      <c r="E7">
        <f t="shared" si="1"/>
        <v>0.57488498252145992</v>
      </c>
      <c r="F7">
        <f t="shared" si="4"/>
        <v>1255.729444929538</v>
      </c>
      <c r="G7">
        <v>10.788606654718301</v>
      </c>
      <c r="H7">
        <v>679.46221000000003</v>
      </c>
      <c r="I7">
        <f t="shared" si="2"/>
        <v>0.16108634660976767</v>
      </c>
      <c r="J7">
        <v>122.58736</v>
      </c>
      <c r="K7">
        <v>0.23522000000000001</v>
      </c>
      <c r="L7">
        <f t="shared" si="5"/>
        <v>-0.6285257543630719</v>
      </c>
      <c r="M7">
        <v>7.2149799999999997</v>
      </c>
      <c r="N7">
        <f t="shared" si="3"/>
        <v>0.85823513156233677</v>
      </c>
      <c r="O7">
        <v>509.42750000000001</v>
      </c>
      <c r="P7">
        <v>-5.6980000000000003E-2</v>
      </c>
      <c r="Q7">
        <v>1.7457800000000001</v>
      </c>
      <c r="R7">
        <v>1.1136699999999999</v>
      </c>
      <c r="S7">
        <v>21.119910000000001</v>
      </c>
      <c r="T7">
        <v>239.98697678066037</v>
      </c>
      <c r="U7">
        <v>263.67417999999998</v>
      </c>
      <c r="V7">
        <v>20.3231</v>
      </c>
      <c r="W7">
        <v>18.093920000000001</v>
      </c>
      <c r="X7">
        <v>28.684930000000001</v>
      </c>
      <c r="Y7">
        <v>12.54275</v>
      </c>
      <c r="Z7">
        <v>16.14218</v>
      </c>
      <c r="AA7">
        <v>30.168610000000001</v>
      </c>
      <c r="AB7">
        <v>0.12105</v>
      </c>
      <c r="AC7">
        <v>46.208939999999998</v>
      </c>
      <c r="AD7">
        <v>1.927</v>
      </c>
      <c r="AE7">
        <v>3.27</v>
      </c>
      <c r="AF7">
        <v>2315.8388136124449</v>
      </c>
      <c r="AG7">
        <v>3526.9444172499911</v>
      </c>
      <c r="AH7">
        <v>2876.0800296614616</v>
      </c>
    </row>
    <row r="8" spans="1:34" x14ac:dyDescent="0.25">
      <c r="A8" s="1">
        <v>0.25</v>
      </c>
      <c r="B8" s="1">
        <v>0.125</v>
      </c>
      <c r="C8">
        <v>0.38029358229856702</v>
      </c>
      <c r="D8">
        <f t="shared" si="0"/>
        <v>763.05500000000006</v>
      </c>
      <c r="E8">
        <f t="shared" si="1"/>
        <v>0.62995794260904636</v>
      </c>
      <c r="F8">
        <f t="shared" si="4"/>
        <v>1211.2792749936866</v>
      </c>
      <c r="G8">
        <v>10.6597764121894</v>
      </c>
      <c r="H8">
        <v>478.92822000000001</v>
      </c>
      <c r="I8">
        <f t="shared" si="2"/>
        <v>0.11354391180654339</v>
      </c>
      <c r="J8">
        <v>8.1926600000000001</v>
      </c>
      <c r="K8">
        <v>0.23701</v>
      </c>
      <c r="L8">
        <f t="shared" si="5"/>
        <v>-0.62523332971479784</v>
      </c>
      <c r="M8">
        <v>124.82344000000001</v>
      </c>
      <c r="N8">
        <f t="shared" si="3"/>
        <v>2.0962961470994661</v>
      </c>
      <c r="O8">
        <v>29.7666</v>
      </c>
      <c r="P8">
        <v>-0.71408000000000005</v>
      </c>
      <c r="Q8">
        <v>1.7987299999999999</v>
      </c>
      <c r="R8">
        <v>0.77986999999999995</v>
      </c>
      <c r="S8">
        <v>0</v>
      </c>
      <c r="T8">
        <v>231.4139777232628</v>
      </c>
      <c r="U8">
        <v>265.50069999999999</v>
      </c>
      <c r="V8">
        <v>28.189889999999998</v>
      </c>
      <c r="W8">
        <v>19.757429999999999</v>
      </c>
      <c r="X8">
        <v>36.627389999999998</v>
      </c>
      <c r="Y8">
        <v>12.65626</v>
      </c>
      <c r="Z8">
        <v>23.971139999999998</v>
      </c>
      <c r="AA8">
        <v>29.337230000000002</v>
      </c>
      <c r="AB8">
        <v>0.21156</v>
      </c>
      <c r="AC8">
        <v>48.786189999999998</v>
      </c>
      <c r="AD8">
        <v>2.085</v>
      </c>
      <c r="AE8">
        <v>2.6320000000000001</v>
      </c>
      <c r="AF8">
        <v>2186.3467861746844</v>
      </c>
      <c r="AG8">
        <v>3614.7364982747395</v>
      </c>
      <c r="AH8">
        <v>2790.7206563128716</v>
      </c>
    </row>
    <row r="9" spans="1:34" x14ac:dyDescent="0.25">
      <c r="A9" s="1">
        <v>0.375</v>
      </c>
      <c r="B9" s="1">
        <v>0.125</v>
      </c>
      <c r="C9">
        <v>0.42341373243122998</v>
      </c>
      <c r="D9">
        <f t="shared" si="0"/>
        <v>752.44500000000005</v>
      </c>
      <c r="E9">
        <f t="shared" si="1"/>
        <v>0.61794432558592316</v>
      </c>
      <c r="F9">
        <f t="shared" si="4"/>
        <v>1217.6582401441196</v>
      </c>
      <c r="G9">
        <v>10.6784562011273</v>
      </c>
      <c r="H9">
        <v>486.65356000000003</v>
      </c>
      <c r="I9">
        <f t="shared" si="2"/>
        <v>0.11537542911332385</v>
      </c>
      <c r="J9">
        <v>24.10887</v>
      </c>
      <c r="K9">
        <v>0.17574999999999999</v>
      </c>
      <c r="L9">
        <f t="shared" si="5"/>
        <v>-0.75510466630813844</v>
      </c>
      <c r="M9">
        <v>46.750340000000001</v>
      </c>
      <c r="N9">
        <f t="shared" si="3"/>
        <v>1.6697847737023741</v>
      </c>
      <c r="O9">
        <v>2439.0149999999999</v>
      </c>
      <c r="P9">
        <v>-0.58794999999999997</v>
      </c>
      <c r="Q9">
        <v>1.7449399999999999</v>
      </c>
      <c r="R9">
        <v>0.83147000000000004</v>
      </c>
      <c r="S9">
        <v>15.216379999999999</v>
      </c>
      <c r="T9">
        <v>232.05593488156862</v>
      </c>
      <c r="U9">
        <v>265.25038000000001</v>
      </c>
      <c r="V9">
        <v>26.263839999999998</v>
      </c>
      <c r="W9">
        <v>19.5139</v>
      </c>
      <c r="X9">
        <v>34.465409999999999</v>
      </c>
      <c r="Y9">
        <v>12.30236</v>
      </c>
      <c r="Z9">
        <v>22.163049999999998</v>
      </c>
      <c r="AA9">
        <v>29.222829999999998</v>
      </c>
      <c r="AB9">
        <v>0.19639999999999999</v>
      </c>
      <c r="AC9">
        <v>47.842089999999999</v>
      </c>
      <c r="AD9">
        <v>2.0510000000000002</v>
      </c>
      <c r="AE9">
        <v>2.6429999999999998</v>
      </c>
      <c r="AF9">
        <v>2199.8545620449822</v>
      </c>
      <c r="AG9">
        <v>3579.0139009902014</v>
      </c>
      <c r="AH9">
        <v>2793.9032221237439</v>
      </c>
    </row>
    <row r="10" spans="1:34" x14ac:dyDescent="0.25">
      <c r="A10" s="1">
        <v>0.5</v>
      </c>
      <c r="B10" s="1">
        <v>0.125</v>
      </c>
      <c r="C10">
        <v>0.38836224441411399</v>
      </c>
      <c r="D10">
        <f t="shared" si="0"/>
        <v>741.83500000000004</v>
      </c>
      <c r="E10">
        <f t="shared" si="1"/>
        <v>0.60712589706164799</v>
      </c>
      <c r="F10">
        <f t="shared" si="4"/>
        <v>1221.8800146564554</v>
      </c>
      <c r="G10">
        <v>10.690783150010301</v>
      </c>
      <c r="H10">
        <v>479.94529</v>
      </c>
      <c r="I10">
        <f t="shared" si="2"/>
        <v>0.11378503793266952</v>
      </c>
      <c r="J10">
        <v>52.012869999999999</v>
      </c>
      <c r="K10">
        <v>0.22539000000000001</v>
      </c>
      <c r="L10">
        <f t="shared" si="5"/>
        <v>-0.64706535644057994</v>
      </c>
      <c r="M10">
        <v>11.75773</v>
      </c>
      <c r="N10">
        <f t="shared" si="3"/>
        <v>1.0703234829957355</v>
      </c>
      <c r="O10">
        <v>2496.4940000000001</v>
      </c>
      <c r="P10">
        <v>-0.31811</v>
      </c>
      <c r="Q10">
        <v>1.5529900000000001</v>
      </c>
      <c r="R10">
        <v>0.88327999999999995</v>
      </c>
      <c r="S10">
        <v>13.980180000000001</v>
      </c>
      <c r="T10">
        <v>233.06998012729912</v>
      </c>
      <c r="U10">
        <v>265.81450000000001</v>
      </c>
      <c r="V10">
        <v>25.337620000000001</v>
      </c>
      <c r="W10">
        <v>19.286359999999998</v>
      </c>
      <c r="X10">
        <v>33.267220000000002</v>
      </c>
      <c r="Y10">
        <v>11.894399999999999</v>
      </c>
      <c r="Z10">
        <v>21.372820000000001</v>
      </c>
      <c r="AA10">
        <v>29.190950000000001</v>
      </c>
      <c r="AB10">
        <v>0.18886</v>
      </c>
      <c r="AC10">
        <v>47.301099999999998</v>
      </c>
      <c r="AD10">
        <v>2</v>
      </c>
      <c r="AE10">
        <v>2.72</v>
      </c>
      <c r="AF10">
        <v>2213.7847211540807</v>
      </c>
      <c r="AG10">
        <v>3574.4225816609037</v>
      </c>
      <c r="AH10">
        <v>2804.7773595295603</v>
      </c>
    </row>
    <row r="11" spans="1:34" x14ac:dyDescent="0.25">
      <c r="A11" s="1">
        <v>0.625</v>
      </c>
      <c r="B11" s="1">
        <v>0.125</v>
      </c>
      <c r="C11">
        <v>0.41285170253375603</v>
      </c>
      <c r="D11">
        <f t="shared" si="0"/>
        <v>731.22500000000002</v>
      </c>
      <c r="E11">
        <f t="shared" si="1"/>
        <v>0.59476542139841371</v>
      </c>
      <c r="F11">
        <f t="shared" si="4"/>
        <v>1229.4342839917329</v>
      </c>
      <c r="G11">
        <v>10.7127698122782</v>
      </c>
      <c r="H11">
        <v>473.16743000000002</v>
      </c>
      <c r="I11">
        <f t="shared" si="2"/>
        <v>0.11217814841156946</v>
      </c>
      <c r="J11">
        <v>108.75859</v>
      </c>
      <c r="K11">
        <v>0.21554000000000001</v>
      </c>
      <c r="L11">
        <f t="shared" si="5"/>
        <v>-0.66647212147890844</v>
      </c>
      <c r="M11">
        <v>9.1038899999999998</v>
      </c>
      <c r="N11">
        <f t="shared" si="3"/>
        <v>0.95922700161232954</v>
      </c>
      <c r="O11">
        <v>2867.9670000000001</v>
      </c>
      <c r="P11">
        <v>-0.21282999999999999</v>
      </c>
      <c r="Q11">
        <v>1.5505899999999999</v>
      </c>
      <c r="R11">
        <v>0.94018000000000002</v>
      </c>
      <c r="S11">
        <v>13.33807</v>
      </c>
      <c r="T11">
        <v>234.86130406619972</v>
      </c>
      <c r="U11">
        <v>265.79593999999997</v>
      </c>
      <c r="V11">
        <v>23.073619999999998</v>
      </c>
      <c r="W11">
        <v>18.955670000000001</v>
      </c>
      <c r="X11">
        <v>31.200600000000001</v>
      </c>
      <c r="Y11">
        <v>12.190469999999999</v>
      </c>
      <c r="Z11">
        <v>19.01013</v>
      </c>
      <c r="AA11">
        <v>29.22278</v>
      </c>
      <c r="AB11">
        <v>0.16411999999999999</v>
      </c>
      <c r="AC11">
        <v>46.499220000000001</v>
      </c>
      <c r="AD11">
        <v>1.964</v>
      </c>
      <c r="AE11">
        <v>2.7639999999999998</v>
      </c>
      <c r="AF11">
        <v>2241.0828983142342</v>
      </c>
      <c r="AG11">
        <v>3535.4071140766819</v>
      </c>
      <c r="AH11">
        <v>2817.6945190556607</v>
      </c>
    </row>
    <row r="12" spans="1:34" x14ac:dyDescent="0.25">
      <c r="A12" s="1">
        <v>0.75</v>
      </c>
      <c r="B12" s="1">
        <v>0.125</v>
      </c>
      <c r="C12">
        <v>0.33328332374010999</v>
      </c>
      <c r="D12">
        <f t="shared" si="0"/>
        <v>720.61500000000012</v>
      </c>
      <c r="E12">
        <f t="shared" si="1"/>
        <v>0.58370640008759822</v>
      </c>
      <c r="F12">
        <f t="shared" si="4"/>
        <v>1234.5504518913201</v>
      </c>
      <c r="G12">
        <v>10.727609287246301</v>
      </c>
      <c r="H12">
        <v>521.36203999999998</v>
      </c>
      <c r="I12">
        <f t="shared" si="2"/>
        <v>0.12360408724513987</v>
      </c>
      <c r="J12">
        <v>164.06939</v>
      </c>
      <c r="K12">
        <v>0.27509</v>
      </c>
      <c r="L12">
        <f t="shared" si="5"/>
        <v>-0.56052519668321676</v>
      </c>
      <c r="M12">
        <v>6.41852</v>
      </c>
      <c r="N12">
        <f t="shared" si="3"/>
        <v>0.80743489879599872</v>
      </c>
      <c r="O12">
        <v>2943.3670000000002</v>
      </c>
      <c r="P12">
        <v>-0.17951</v>
      </c>
      <c r="Q12">
        <v>1.6923999999999999</v>
      </c>
      <c r="R12">
        <v>1.0119899999999999</v>
      </c>
      <c r="S12">
        <v>12.97198</v>
      </c>
      <c r="T12">
        <v>237.22394313241819</v>
      </c>
      <c r="U12">
        <v>266.06186000000002</v>
      </c>
      <c r="V12">
        <v>22.173850000000002</v>
      </c>
      <c r="W12">
        <v>18.65748</v>
      </c>
      <c r="X12">
        <v>30.50947</v>
      </c>
      <c r="Y12">
        <v>12.50343</v>
      </c>
      <c r="Z12">
        <v>18.006039999999999</v>
      </c>
      <c r="AA12">
        <v>29.333259999999999</v>
      </c>
      <c r="AB12">
        <v>0.15193000000000001</v>
      </c>
      <c r="AC12">
        <v>46.308889999999998</v>
      </c>
      <c r="AD12">
        <v>1.9419999999999999</v>
      </c>
      <c r="AE12">
        <v>2.915</v>
      </c>
      <c r="AF12">
        <v>2269.516047598654</v>
      </c>
      <c r="AG12">
        <v>3542.5356196454891</v>
      </c>
      <c r="AH12">
        <v>2843.1525706214638</v>
      </c>
    </row>
    <row r="13" spans="1:34" x14ac:dyDescent="0.25">
      <c r="A13" s="1">
        <v>0.875</v>
      </c>
      <c r="B13" s="1">
        <v>0.125</v>
      </c>
      <c r="C13">
        <v>0.28131734534235298</v>
      </c>
      <c r="D13">
        <f t="shared" si="0"/>
        <v>710.005</v>
      </c>
      <c r="E13">
        <f t="shared" si="1"/>
        <v>0.57163866208430114</v>
      </c>
      <c r="F13">
        <f t="shared" si="4"/>
        <v>1242.0520988051951</v>
      </c>
      <c r="G13">
        <v>10.7492939108763</v>
      </c>
      <c r="H13">
        <v>775.91102999999998</v>
      </c>
      <c r="I13">
        <f t="shared" si="2"/>
        <v>0.18395235419630157</v>
      </c>
      <c r="J13">
        <v>267.79055</v>
      </c>
      <c r="K13">
        <v>0.27218999999999999</v>
      </c>
      <c r="L13">
        <f t="shared" si="5"/>
        <v>-0.56512783440305836</v>
      </c>
      <c r="M13">
        <v>3.6878199999999999</v>
      </c>
      <c r="N13">
        <f t="shared" si="3"/>
        <v>0.56676971527896225</v>
      </c>
      <c r="O13">
        <v>3053.0520000000001</v>
      </c>
      <c r="P13">
        <v>-8.9679999999999996E-2</v>
      </c>
      <c r="Q13">
        <v>1.8265800000000001</v>
      </c>
      <c r="R13">
        <v>1.1037399999999999</v>
      </c>
      <c r="S13">
        <v>12.91985</v>
      </c>
      <c r="T13">
        <v>239.9255400022171</v>
      </c>
      <c r="U13">
        <v>264.32542000000001</v>
      </c>
      <c r="V13">
        <v>21.2105</v>
      </c>
      <c r="W13">
        <v>18.038170000000001</v>
      </c>
      <c r="X13">
        <v>29.543980000000001</v>
      </c>
      <c r="Y13">
        <v>12.500220000000001</v>
      </c>
      <c r="Z13">
        <v>17.043759999999999</v>
      </c>
      <c r="AA13">
        <v>29.62275</v>
      </c>
      <c r="AB13">
        <v>0.13755999999999999</v>
      </c>
      <c r="AC13">
        <v>46.125120000000003</v>
      </c>
      <c r="AD13">
        <v>1.9379999999999999</v>
      </c>
      <c r="AE13">
        <v>3.2719999999999998</v>
      </c>
      <c r="AF13">
        <v>2303.2136371967513</v>
      </c>
      <c r="AG13">
        <v>3552.8825833465635</v>
      </c>
      <c r="AH13">
        <v>2873.4986035448269</v>
      </c>
    </row>
    <row r="14" spans="1:34" x14ac:dyDescent="0.25">
      <c r="A14" s="1">
        <v>0.25</v>
      </c>
      <c r="B14" s="1">
        <v>0.25</v>
      </c>
      <c r="C14">
        <v>0.41441778779538901</v>
      </c>
      <c r="D14">
        <f t="shared" si="0"/>
        <v>751.16</v>
      </c>
      <c r="E14">
        <f t="shared" si="1"/>
        <v>0.62571910479470327</v>
      </c>
      <c r="F14">
        <f t="shared" si="4"/>
        <v>1200.4747725362381</v>
      </c>
      <c r="G14">
        <v>10.6279869545533</v>
      </c>
      <c r="H14">
        <v>478.04536999999999</v>
      </c>
      <c r="I14">
        <f t="shared" si="2"/>
        <v>0.11333460644855381</v>
      </c>
      <c r="J14">
        <v>21.1172</v>
      </c>
      <c r="K14">
        <v>0.22652</v>
      </c>
      <c r="L14">
        <f t="shared" si="5"/>
        <v>-0.64489344704550844</v>
      </c>
      <c r="M14">
        <v>46.839849999999998</v>
      </c>
      <c r="N14">
        <f t="shared" si="3"/>
        <v>1.6706154956173069</v>
      </c>
      <c r="O14">
        <v>0</v>
      </c>
      <c r="P14">
        <v>-0.77717000000000003</v>
      </c>
      <c r="Q14">
        <v>1.78111</v>
      </c>
      <c r="R14">
        <v>0.79091999999999996</v>
      </c>
      <c r="S14">
        <v>20.763590000000001</v>
      </c>
      <c r="T14">
        <v>231.52006669823803</v>
      </c>
      <c r="U14">
        <v>267.40091000000001</v>
      </c>
      <c r="V14">
        <v>27.959099999999999</v>
      </c>
      <c r="W14">
        <v>19.896609999999999</v>
      </c>
      <c r="X14">
        <v>36.22681</v>
      </c>
      <c r="Y14">
        <v>12.40156</v>
      </c>
      <c r="Z14">
        <v>23.82525</v>
      </c>
      <c r="AA14">
        <v>29.027159999999999</v>
      </c>
      <c r="AB14">
        <v>0.21240000000000001</v>
      </c>
      <c r="AC14">
        <v>48.245480000000001</v>
      </c>
      <c r="AD14">
        <v>2.0659999999999998</v>
      </c>
      <c r="AE14">
        <v>2.65</v>
      </c>
      <c r="AF14">
        <v>2180.6247020721562</v>
      </c>
      <c r="AG14">
        <v>3608.6226701654568</v>
      </c>
      <c r="AH14">
        <v>2784.2084290746307</v>
      </c>
    </row>
    <row r="15" spans="1:34" x14ac:dyDescent="0.25">
      <c r="A15" s="1">
        <v>0.375</v>
      </c>
      <c r="B15" s="1">
        <v>0.25</v>
      </c>
      <c r="C15">
        <v>0.59642907683082202</v>
      </c>
      <c r="D15">
        <f t="shared" si="0"/>
        <v>740.55</v>
      </c>
      <c r="E15">
        <f t="shared" si="1"/>
        <v>0.6137421774933991</v>
      </c>
      <c r="F15">
        <f t="shared" si="4"/>
        <v>1206.6141568182588</v>
      </c>
      <c r="G15">
        <v>10.6460737930196</v>
      </c>
      <c r="H15">
        <v>531.10009000000002</v>
      </c>
      <c r="I15">
        <f t="shared" si="2"/>
        <v>0.12591277619724989</v>
      </c>
      <c r="J15">
        <v>28.857030000000002</v>
      </c>
      <c r="K15">
        <v>0.29133999999999999</v>
      </c>
      <c r="L15">
        <f t="shared" si="5"/>
        <v>-0.53559988411013504</v>
      </c>
      <c r="M15">
        <v>31.78959</v>
      </c>
      <c r="N15">
        <f t="shared" si="3"/>
        <v>1.5022849267230198</v>
      </c>
      <c r="O15">
        <v>1765.501</v>
      </c>
      <c r="P15">
        <v>-0.63109000000000004</v>
      </c>
      <c r="Q15">
        <v>1.8231200000000001</v>
      </c>
      <c r="R15">
        <v>0.83543999999999996</v>
      </c>
      <c r="S15">
        <v>15.47363</v>
      </c>
      <c r="T15">
        <v>231.92239745543378</v>
      </c>
      <c r="U15">
        <v>266.60660999999999</v>
      </c>
      <c r="V15">
        <v>26.29344</v>
      </c>
      <c r="W15">
        <v>19.563469999999999</v>
      </c>
      <c r="X15">
        <v>34.513800000000003</v>
      </c>
      <c r="Y15">
        <v>12.330539999999999</v>
      </c>
      <c r="Z15">
        <v>22.18327</v>
      </c>
      <c r="AA15">
        <v>28.72681</v>
      </c>
      <c r="AB15">
        <v>0.20022000000000001</v>
      </c>
      <c r="AC15">
        <v>47.293840000000003</v>
      </c>
      <c r="AD15">
        <v>2.0489999999999999</v>
      </c>
      <c r="AE15">
        <v>2.6509999999999998</v>
      </c>
      <c r="AF15">
        <v>2191.0266957473282</v>
      </c>
      <c r="AG15">
        <v>3578.7437364749767</v>
      </c>
      <c r="AH15">
        <v>2786.16153200194</v>
      </c>
    </row>
    <row r="16" spans="1:34" x14ac:dyDescent="0.25">
      <c r="A16" s="1">
        <v>0.5</v>
      </c>
      <c r="B16" s="1">
        <v>0.25</v>
      </c>
      <c r="C16">
        <v>0.54803945189532099</v>
      </c>
      <c r="D16">
        <f t="shared" si="0"/>
        <v>729.94</v>
      </c>
      <c r="E16">
        <f t="shared" si="1"/>
        <v>0.60277355335818161</v>
      </c>
      <c r="F16">
        <f t="shared" si="4"/>
        <v>1210.9688554405659</v>
      </c>
      <c r="G16">
        <v>10.658865726049701</v>
      </c>
      <c r="H16">
        <v>542.43541000000005</v>
      </c>
      <c r="I16">
        <f t="shared" si="2"/>
        <v>0.12860014461830252</v>
      </c>
      <c r="J16">
        <v>65.299769999999995</v>
      </c>
      <c r="K16">
        <v>0.29697000000000001</v>
      </c>
      <c r="L16">
        <f t="shared" si="5"/>
        <v>-0.52728742102798409</v>
      </c>
      <c r="M16">
        <v>13.983029999999999</v>
      </c>
      <c r="N16">
        <f t="shared" si="3"/>
        <v>1.1456012894137071</v>
      </c>
      <c r="O16">
        <v>1892.3810000000001</v>
      </c>
      <c r="P16">
        <v>-0.43529000000000001</v>
      </c>
      <c r="Q16">
        <v>1.56399</v>
      </c>
      <c r="R16">
        <v>0.88710999999999995</v>
      </c>
      <c r="S16">
        <v>13.975059999999999</v>
      </c>
      <c r="T16">
        <v>232.90766290131251</v>
      </c>
      <c r="U16">
        <v>265.80846000000003</v>
      </c>
      <c r="V16">
        <v>25.73563</v>
      </c>
      <c r="W16">
        <v>19.096150000000002</v>
      </c>
      <c r="X16">
        <v>34.007719999999999</v>
      </c>
      <c r="Y16">
        <v>12.40813</v>
      </c>
      <c r="Z16">
        <v>21.59958</v>
      </c>
      <c r="AA16">
        <v>28.491859999999999</v>
      </c>
      <c r="AB16">
        <v>0.19658999999999999</v>
      </c>
      <c r="AC16">
        <v>46.850670000000001</v>
      </c>
      <c r="AD16">
        <v>2</v>
      </c>
      <c r="AE16">
        <v>2.714</v>
      </c>
      <c r="AF16">
        <v>2203.8337046608167</v>
      </c>
      <c r="AG16">
        <v>3586.1836839832395</v>
      </c>
      <c r="AH16">
        <v>2799.1291534895263</v>
      </c>
    </row>
    <row r="17" spans="1:34" x14ac:dyDescent="0.25">
      <c r="A17" s="1">
        <v>0.625</v>
      </c>
      <c r="B17" s="1">
        <v>0.25</v>
      </c>
      <c r="C17">
        <v>0.63964203884814896</v>
      </c>
      <c r="D17">
        <f t="shared" si="0"/>
        <v>719.33</v>
      </c>
      <c r="E17">
        <f t="shared" si="1"/>
        <v>0.59048386881641735</v>
      </c>
      <c r="F17">
        <f t="shared" si="4"/>
        <v>1218.2043201990352</v>
      </c>
      <c r="G17">
        <v>10.6800522758054</v>
      </c>
      <c r="H17">
        <v>540.85628999999994</v>
      </c>
      <c r="I17">
        <f t="shared" si="2"/>
        <v>0.12822576813655759</v>
      </c>
      <c r="J17">
        <v>146.61758</v>
      </c>
      <c r="K17">
        <v>0.28805999999999998</v>
      </c>
      <c r="L17">
        <f t="shared" si="5"/>
        <v>-0.54051704364719066</v>
      </c>
      <c r="M17">
        <v>6.5908100000000003</v>
      </c>
      <c r="N17">
        <f t="shared" si="3"/>
        <v>0.81893879197078479</v>
      </c>
      <c r="O17">
        <v>1974.864</v>
      </c>
      <c r="P17">
        <v>-0.36274000000000001</v>
      </c>
      <c r="Q17">
        <v>1.73441</v>
      </c>
      <c r="R17">
        <v>0.94610000000000005</v>
      </c>
      <c r="S17">
        <v>13.27726</v>
      </c>
      <c r="T17">
        <v>234.43296389201831</v>
      </c>
      <c r="U17">
        <v>266.62635</v>
      </c>
      <c r="V17">
        <v>23.876329999999999</v>
      </c>
      <c r="W17">
        <v>18.932770000000001</v>
      </c>
      <c r="X17">
        <v>31.768740000000001</v>
      </c>
      <c r="Y17">
        <v>11.838609999999999</v>
      </c>
      <c r="Z17">
        <v>19.930129999999998</v>
      </c>
      <c r="AA17">
        <v>28.692319999999999</v>
      </c>
      <c r="AB17">
        <v>0.17795</v>
      </c>
      <c r="AC17">
        <v>46.135950000000001</v>
      </c>
      <c r="AD17">
        <v>1.9730000000000001</v>
      </c>
      <c r="AE17">
        <v>2.7610000000000001</v>
      </c>
      <c r="AF17">
        <v>2227.0246631164641</v>
      </c>
      <c r="AG17">
        <v>3558.0605283869127</v>
      </c>
      <c r="AH17">
        <v>2811.8764052419324</v>
      </c>
    </row>
    <row r="18" spans="1:34" x14ac:dyDescent="0.25">
      <c r="A18" s="1">
        <v>0.75</v>
      </c>
      <c r="B18" s="1">
        <v>0.25</v>
      </c>
      <c r="C18">
        <v>0.409446097026884</v>
      </c>
      <c r="D18">
        <f t="shared" si="0"/>
        <v>708.72</v>
      </c>
      <c r="E18">
        <f t="shared" si="1"/>
        <v>0.57962618143686184</v>
      </c>
      <c r="F18">
        <f t="shared" si="4"/>
        <v>1222.7190949917438</v>
      </c>
      <c r="G18">
        <v>10.693229755028099</v>
      </c>
      <c r="H18">
        <v>580.14993000000004</v>
      </c>
      <c r="I18">
        <f t="shared" si="2"/>
        <v>0.13754147226173544</v>
      </c>
      <c r="J18">
        <v>336.70073000000002</v>
      </c>
      <c r="K18">
        <v>0.19295999999999999</v>
      </c>
      <c r="L18">
        <f t="shared" si="5"/>
        <v>-0.71453270953994275</v>
      </c>
      <c r="M18">
        <v>2.95363</v>
      </c>
      <c r="N18">
        <f t="shared" si="3"/>
        <v>0.47035609049434524</v>
      </c>
      <c r="O18">
        <v>2400.1779999999999</v>
      </c>
      <c r="P18">
        <v>-0.21933</v>
      </c>
      <c r="Q18">
        <v>1.7330000000000001</v>
      </c>
      <c r="R18">
        <v>1.01206</v>
      </c>
      <c r="S18">
        <v>12.513820000000001</v>
      </c>
      <c r="T18">
        <v>236.98374804706515</v>
      </c>
      <c r="U18">
        <v>267.20353</v>
      </c>
      <c r="V18">
        <v>23.18178</v>
      </c>
      <c r="W18">
        <v>18.659749999999999</v>
      </c>
      <c r="X18">
        <v>31.01304</v>
      </c>
      <c r="Y18">
        <v>11.74689</v>
      </c>
      <c r="Z18">
        <v>19.26615</v>
      </c>
      <c r="AA18">
        <v>28.96773</v>
      </c>
      <c r="AB18">
        <v>0.16850000000000001</v>
      </c>
      <c r="AC18">
        <v>46.108939999999997</v>
      </c>
      <c r="AD18">
        <v>1.946</v>
      </c>
      <c r="AE18">
        <v>2.9079999999999999</v>
      </c>
      <c r="AF18">
        <v>2256.2142249142303</v>
      </c>
      <c r="AG18">
        <v>3573.2929021261566</v>
      </c>
      <c r="AH18">
        <v>2840.469340310533</v>
      </c>
    </row>
    <row r="19" spans="1:34" x14ac:dyDescent="0.25">
      <c r="A19" s="1">
        <v>0.875</v>
      </c>
      <c r="B19" s="1">
        <v>0.25</v>
      </c>
      <c r="C19">
        <v>0.44813963608071999</v>
      </c>
      <c r="D19">
        <f t="shared" si="0"/>
        <v>698.11</v>
      </c>
      <c r="E19">
        <f t="shared" si="1"/>
        <v>0.56677698923881337</v>
      </c>
      <c r="F19">
        <f t="shared" si="4"/>
        <v>1231.7190239807867</v>
      </c>
      <c r="G19">
        <v>10.7194017913941</v>
      </c>
      <c r="H19">
        <v>912.42534000000001</v>
      </c>
      <c r="I19">
        <f t="shared" si="2"/>
        <v>0.21631705547652916</v>
      </c>
      <c r="J19">
        <v>471.85120999999998</v>
      </c>
      <c r="K19">
        <v>0.27290999999999999</v>
      </c>
      <c r="L19">
        <f t="shared" si="5"/>
        <v>-0.56398055056956586</v>
      </c>
      <c r="M19">
        <v>2.0098699999999998</v>
      </c>
      <c r="N19">
        <f t="shared" si="3"/>
        <v>0.30316796781427413</v>
      </c>
      <c r="O19">
        <v>2277.9769999999999</v>
      </c>
      <c r="P19">
        <v>-0.20591000000000001</v>
      </c>
      <c r="Q19">
        <v>1.8416300000000001</v>
      </c>
      <c r="R19">
        <v>1.0773600000000001</v>
      </c>
      <c r="S19">
        <v>12.618320000000001</v>
      </c>
      <c r="T19">
        <v>238.81759990711276</v>
      </c>
      <c r="U19">
        <v>265.25101999999998</v>
      </c>
      <c r="V19">
        <v>21.217020000000002</v>
      </c>
      <c r="W19">
        <v>17.971</v>
      </c>
      <c r="X19">
        <v>29.457000000000001</v>
      </c>
      <c r="Y19">
        <v>12.359970000000001</v>
      </c>
      <c r="Z19">
        <v>17.09703</v>
      </c>
      <c r="AA19">
        <v>28.851299999999998</v>
      </c>
      <c r="AB19">
        <v>0.14434</v>
      </c>
      <c r="AC19">
        <v>45.276400000000002</v>
      </c>
      <c r="AD19">
        <v>1.9510000000000001</v>
      </c>
      <c r="AE19">
        <v>3.266</v>
      </c>
      <c r="AF19">
        <v>2284.7079347395133</v>
      </c>
      <c r="AG19">
        <v>3543.7528017167947</v>
      </c>
      <c r="AH19">
        <v>2855.9101467189694</v>
      </c>
    </row>
    <row r="20" spans="1:34" x14ac:dyDescent="0.25">
      <c r="A20" s="1">
        <v>0.25</v>
      </c>
      <c r="B20" s="1">
        <v>0.375</v>
      </c>
      <c r="C20">
        <v>0.70267003558982599</v>
      </c>
      <c r="D20">
        <f t="shared" si="0"/>
        <v>739.26499999999999</v>
      </c>
      <c r="E20">
        <f t="shared" si="1"/>
        <v>0.62229759857594713</v>
      </c>
      <c r="F20">
        <f t="shared" si="4"/>
        <v>1187.9605540688549</v>
      </c>
      <c r="G20">
        <v>10.5909277842453</v>
      </c>
      <c r="H20">
        <v>569.42272000000003</v>
      </c>
      <c r="I20">
        <f t="shared" si="2"/>
        <v>0.13499827406353723</v>
      </c>
      <c r="J20">
        <v>38.14273</v>
      </c>
      <c r="K20">
        <v>0.29971999999999999</v>
      </c>
      <c r="L20">
        <f t="shared" si="5"/>
        <v>-0.52328427607393657</v>
      </c>
      <c r="M20">
        <v>19.39723</v>
      </c>
      <c r="N20">
        <f t="shared" si="3"/>
        <v>1.2877397154144004</v>
      </c>
      <c r="O20">
        <v>60</v>
      </c>
      <c r="P20">
        <v>-0.79498999999999997</v>
      </c>
      <c r="Q20">
        <v>1.8776200000000001</v>
      </c>
      <c r="R20">
        <v>0.81862000000000001</v>
      </c>
      <c r="S20">
        <v>21.139949999999999</v>
      </c>
      <c r="T20">
        <v>230.93963159445372</v>
      </c>
      <c r="U20">
        <v>267.13387999999998</v>
      </c>
      <c r="V20">
        <v>27.251249999999999</v>
      </c>
      <c r="W20">
        <v>19.702190000000002</v>
      </c>
      <c r="X20">
        <v>35.655679999999997</v>
      </c>
      <c r="Y20">
        <v>12.606640000000001</v>
      </c>
      <c r="Z20">
        <v>23.049040000000002</v>
      </c>
      <c r="AA20">
        <v>28.403569999999998</v>
      </c>
      <c r="AB20">
        <v>0.21035999999999999</v>
      </c>
      <c r="AC20">
        <v>47.357810000000001</v>
      </c>
      <c r="AD20">
        <v>2.0449999999999999</v>
      </c>
      <c r="AE20">
        <v>2.6760000000000002</v>
      </c>
      <c r="AF20">
        <v>2168.0575405739964</v>
      </c>
      <c r="AG20">
        <v>3579.7902503906894</v>
      </c>
      <c r="AH20">
        <v>2766.2585359389186</v>
      </c>
    </row>
    <row r="21" spans="1:34" x14ac:dyDescent="0.25">
      <c r="A21" s="1">
        <v>0.375</v>
      </c>
      <c r="B21" s="1">
        <v>0.375</v>
      </c>
      <c r="C21">
        <v>0.75926150177311402</v>
      </c>
      <c r="D21">
        <f t="shared" si="0"/>
        <v>728.65499999999997</v>
      </c>
      <c r="E21">
        <f t="shared" si="1"/>
        <v>0.61048298813827651</v>
      </c>
      <c r="F21">
        <f t="shared" si="4"/>
        <v>1193.5713429494567</v>
      </c>
      <c r="G21">
        <v>10.6075754052913</v>
      </c>
      <c r="H21">
        <v>616.86513000000002</v>
      </c>
      <c r="I21">
        <f t="shared" si="2"/>
        <v>0.14624588193456614</v>
      </c>
      <c r="J21">
        <v>58.185839999999999</v>
      </c>
      <c r="K21">
        <v>0.32362999999999997</v>
      </c>
      <c r="L21">
        <f t="shared" si="5"/>
        <v>-0.48995122676754643</v>
      </c>
      <c r="M21">
        <v>14.318199999999999</v>
      </c>
      <c r="N21">
        <f t="shared" si="3"/>
        <v>1.1558884244521004</v>
      </c>
      <c r="O21">
        <v>1146.434</v>
      </c>
      <c r="P21">
        <v>-0.65325999999999995</v>
      </c>
      <c r="Q21">
        <v>1.8661300000000001</v>
      </c>
      <c r="R21">
        <v>0.85085</v>
      </c>
      <c r="S21">
        <v>16.161159999999999</v>
      </c>
      <c r="T21">
        <v>231.04485280245828</v>
      </c>
      <c r="U21">
        <v>266.36261000000002</v>
      </c>
      <c r="V21">
        <v>26.191600000000001</v>
      </c>
      <c r="W21">
        <v>19.295349999999999</v>
      </c>
      <c r="X21">
        <v>34.170369999999998</v>
      </c>
      <c r="Y21">
        <v>11.96815</v>
      </c>
      <c r="Z21">
        <v>22.202220000000001</v>
      </c>
      <c r="AA21">
        <v>28.169540000000001</v>
      </c>
      <c r="AB21">
        <v>0.20427000000000001</v>
      </c>
      <c r="AC21">
        <v>46.473680000000002</v>
      </c>
      <c r="AD21">
        <v>2.0419999999999998</v>
      </c>
      <c r="AE21">
        <v>2.694</v>
      </c>
      <c r="AF21">
        <v>2173.8937431752802</v>
      </c>
      <c r="AG21">
        <v>3565.9399635113027</v>
      </c>
      <c r="AH21">
        <v>2768.0710765406366</v>
      </c>
    </row>
    <row r="22" spans="1:34" x14ac:dyDescent="0.25">
      <c r="A22" s="1">
        <v>0.5</v>
      </c>
      <c r="B22" s="1">
        <v>0.375</v>
      </c>
      <c r="C22">
        <v>0.70128645208941698</v>
      </c>
      <c r="D22">
        <f t="shared" si="0"/>
        <v>718.04500000000007</v>
      </c>
      <c r="E22">
        <f t="shared" si="1"/>
        <v>0.59929089846237038</v>
      </c>
      <c r="F22">
        <f t="shared" si="4"/>
        <v>1198.1576924367162</v>
      </c>
      <c r="G22">
        <v>10.6211447288979</v>
      </c>
      <c r="H22">
        <v>684.74566000000004</v>
      </c>
      <c r="I22">
        <f t="shared" si="2"/>
        <v>0.16233894262683737</v>
      </c>
      <c r="J22">
        <v>111.56149000000001</v>
      </c>
      <c r="K22">
        <v>0.35904000000000003</v>
      </c>
      <c r="L22">
        <f t="shared" si="5"/>
        <v>-0.44485716475995141</v>
      </c>
      <c r="M22">
        <v>10.693479999999999</v>
      </c>
      <c r="N22">
        <f t="shared" si="3"/>
        <v>1.0291190615090964</v>
      </c>
      <c r="O22">
        <v>1377.3140000000001</v>
      </c>
      <c r="P22">
        <v>-0.50853999999999999</v>
      </c>
      <c r="Q22">
        <v>1.70069</v>
      </c>
      <c r="R22">
        <v>0.89444999999999997</v>
      </c>
      <c r="S22">
        <v>13.98766</v>
      </c>
      <c r="T22">
        <v>232.17990882749604</v>
      </c>
      <c r="U22">
        <v>265.68894</v>
      </c>
      <c r="V22">
        <v>25.196069999999999</v>
      </c>
      <c r="W22">
        <v>18.94586</v>
      </c>
      <c r="X22">
        <v>33.42418</v>
      </c>
      <c r="Y22">
        <v>12.34216</v>
      </c>
      <c r="Z22">
        <v>21.08202</v>
      </c>
      <c r="AA22">
        <v>27.90418</v>
      </c>
      <c r="AB22">
        <v>0.19603000000000001</v>
      </c>
      <c r="AC22">
        <v>45.953600000000002</v>
      </c>
      <c r="AD22">
        <v>2.0150000000000001</v>
      </c>
      <c r="AE22">
        <v>2.722</v>
      </c>
      <c r="AF22">
        <v>2189.3041123671478</v>
      </c>
      <c r="AG22">
        <v>3560.4852326905052</v>
      </c>
      <c r="AH22">
        <v>2780.1659138328996</v>
      </c>
    </row>
    <row r="23" spans="1:34" x14ac:dyDescent="0.25">
      <c r="A23" s="1">
        <v>0.625</v>
      </c>
      <c r="B23" s="1">
        <v>0.375</v>
      </c>
      <c r="C23">
        <v>0.81978209342977304</v>
      </c>
      <c r="D23">
        <f t="shared" si="0"/>
        <v>707.43500000000006</v>
      </c>
      <c r="E23">
        <f t="shared" si="1"/>
        <v>0.58715693769348387</v>
      </c>
      <c r="F23">
        <f t="shared" si="4"/>
        <v>1204.8482349182518</v>
      </c>
      <c r="G23">
        <v>10.640877623841201</v>
      </c>
      <c r="H23">
        <v>676.72874000000002</v>
      </c>
      <c r="I23">
        <f t="shared" si="2"/>
        <v>0.16043829777145566</v>
      </c>
      <c r="J23">
        <v>198.73838000000001</v>
      </c>
      <c r="K23">
        <v>0.36259000000000002</v>
      </c>
      <c r="L23">
        <f t="shared" si="5"/>
        <v>-0.44058417763903823</v>
      </c>
      <c r="M23">
        <v>4.7279</v>
      </c>
      <c r="N23">
        <f t="shared" si="3"/>
        <v>0.67466828219056862</v>
      </c>
      <c r="O23">
        <v>1381.182</v>
      </c>
      <c r="P23">
        <v>-0.44227</v>
      </c>
      <c r="Q23">
        <v>1.86395</v>
      </c>
      <c r="R23">
        <v>0.94918000000000002</v>
      </c>
      <c r="S23">
        <v>13.3322</v>
      </c>
      <c r="T23">
        <v>233.76702713772758</v>
      </c>
      <c r="U23">
        <v>266.48090000000002</v>
      </c>
      <c r="V23">
        <v>23.884699999999999</v>
      </c>
      <c r="W23">
        <v>18.774619999999999</v>
      </c>
      <c r="X23">
        <v>31.614190000000001</v>
      </c>
      <c r="Y23">
        <v>11.594239999999999</v>
      </c>
      <c r="Z23">
        <v>20.019960000000001</v>
      </c>
      <c r="AA23">
        <v>28.141490000000001</v>
      </c>
      <c r="AB23">
        <v>0.18296000000000001</v>
      </c>
      <c r="AC23">
        <v>45.4345</v>
      </c>
      <c r="AD23">
        <v>1.9950000000000001</v>
      </c>
      <c r="AE23">
        <v>2.7509999999999999</v>
      </c>
      <c r="AF23">
        <v>2211.4054358206213</v>
      </c>
      <c r="AG23">
        <v>3550.0364128241686</v>
      </c>
      <c r="AH23">
        <v>2796.5296983689113</v>
      </c>
    </row>
    <row r="24" spans="1:34" x14ac:dyDescent="0.25">
      <c r="A24" s="1">
        <v>0.75</v>
      </c>
      <c r="B24" s="1">
        <v>0.375</v>
      </c>
      <c r="C24">
        <v>0.58813133599832601</v>
      </c>
      <c r="D24">
        <f t="shared" si="0"/>
        <v>696.82500000000005</v>
      </c>
      <c r="E24">
        <f t="shared" si="1"/>
        <v>0.57601805400907835</v>
      </c>
      <c r="F24">
        <f t="shared" si="4"/>
        <v>1209.7277075780992</v>
      </c>
      <c r="G24">
        <v>10.655222981490899</v>
      </c>
      <c r="H24">
        <v>725.50831000000005</v>
      </c>
      <c r="I24">
        <f t="shared" si="2"/>
        <v>0.17200291844476057</v>
      </c>
      <c r="J24">
        <v>377.64134000000001</v>
      </c>
      <c r="K24">
        <v>0.26444000000000001</v>
      </c>
      <c r="L24">
        <f t="shared" si="5"/>
        <v>-0.57767285151107306</v>
      </c>
      <c r="M24">
        <v>2.0263300000000002</v>
      </c>
      <c r="N24">
        <f t="shared" si="3"/>
        <v>0.30671017424655345</v>
      </c>
      <c r="O24">
        <v>1552.5160000000001</v>
      </c>
      <c r="P24">
        <v>-0.29444999999999999</v>
      </c>
      <c r="Q24">
        <v>1.7624200000000001</v>
      </c>
      <c r="R24">
        <v>1.0083299999999999</v>
      </c>
      <c r="S24">
        <v>12.24952</v>
      </c>
      <c r="T24">
        <v>236.52589019830555</v>
      </c>
      <c r="U24">
        <v>266.90548999999999</v>
      </c>
      <c r="V24">
        <v>23.312460000000002</v>
      </c>
      <c r="W24">
        <v>18.451029999999999</v>
      </c>
      <c r="X24">
        <v>31.442360000000001</v>
      </c>
      <c r="Y24">
        <v>12.19486</v>
      </c>
      <c r="Z24">
        <v>19.247509999999998</v>
      </c>
      <c r="AA24">
        <v>28.221489999999999</v>
      </c>
      <c r="AB24">
        <v>0.17463999999999999</v>
      </c>
      <c r="AC24">
        <v>45.509869999999999</v>
      </c>
      <c r="AD24">
        <v>1.9670000000000001</v>
      </c>
      <c r="AE24">
        <v>2.9060000000000001</v>
      </c>
      <c r="AF24">
        <v>2242.4469397503531</v>
      </c>
      <c r="AG24">
        <v>3571.5864382254376</v>
      </c>
      <c r="AH24">
        <v>2828.4466990450937</v>
      </c>
    </row>
    <row r="25" spans="1:34" x14ac:dyDescent="0.25">
      <c r="A25" s="1">
        <v>0.875</v>
      </c>
      <c r="B25" s="1">
        <v>0.375</v>
      </c>
      <c r="C25">
        <v>0.52472725667693998</v>
      </c>
      <c r="D25">
        <f t="shared" si="0"/>
        <v>686.21500000000003</v>
      </c>
      <c r="E25">
        <f t="shared" si="1"/>
        <v>0.56354788054817395</v>
      </c>
      <c r="F25">
        <f t="shared" si="4"/>
        <v>1217.6693830034556</v>
      </c>
      <c r="G25">
        <v>10.6784887740799</v>
      </c>
      <c r="H25">
        <v>1019.42084</v>
      </c>
      <c r="I25">
        <f t="shared" si="2"/>
        <v>0.24168346135609292</v>
      </c>
      <c r="J25">
        <v>621.17799000000002</v>
      </c>
      <c r="K25">
        <v>0.27167000000000002</v>
      </c>
      <c r="L25">
        <f t="shared" si="5"/>
        <v>-0.5659583172457282</v>
      </c>
      <c r="M25">
        <v>1.37429</v>
      </c>
      <c r="N25">
        <f t="shared" si="3"/>
        <v>0.13807838637014053</v>
      </c>
      <c r="O25">
        <v>1462.7529999999999</v>
      </c>
      <c r="P25">
        <v>-0.21884000000000001</v>
      </c>
      <c r="Q25">
        <v>1.8435600000000001</v>
      </c>
      <c r="R25">
        <v>1.06281</v>
      </c>
      <c r="S25">
        <v>12.3391</v>
      </c>
      <c r="T25">
        <v>237.58216073305604</v>
      </c>
      <c r="U25">
        <v>266.24182000000002</v>
      </c>
      <c r="V25">
        <v>21.20965</v>
      </c>
      <c r="W25">
        <v>18.008510000000001</v>
      </c>
      <c r="X25">
        <v>28.978400000000001</v>
      </c>
      <c r="Y25">
        <v>11.653130000000001</v>
      </c>
      <c r="Z25">
        <v>17.32527</v>
      </c>
      <c r="AA25">
        <v>28.277470000000001</v>
      </c>
      <c r="AB25">
        <v>0.15095</v>
      </c>
      <c r="AC25">
        <v>44.41986</v>
      </c>
      <c r="AD25">
        <v>1.9810000000000001</v>
      </c>
      <c r="AE25">
        <v>3.262</v>
      </c>
      <c r="AF25">
        <v>2262.7534701049822</v>
      </c>
      <c r="AG25">
        <v>3529.0566628602255</v>
      </c>
      <c r="AH25">
        <v>2833.8712934188156</v>
      </c>
    </row>
    <row r="26" spans="1:34" x14ac:dyDescent="0.25">
      <c r="A26" s="1">
        <v>0.25</v>
      </c>
      <c r="B26" s="1">
        <v>0.5</v>
      </c>
      <c r="C26">
        <v>0.75225317380069401</v>
      </c>
      <c r="D26">
        <f t="shared" si="0"/>
        <v>727.37</v>
      </c>
      <c r="E26">
        <f t="shared" si="1"/>
        <v>0.61791905623452914</v>
      </c>
      <c r="F26">
        <f t="shared" si="4"/>
        <v>1177.1282867248701</v>
      </c>
      <c r="G26">
        <v>10.5586387670077</v>
      </c>
      <c r="H26">
        <v>840.65597000000002</v>
      </c>
      <c r="I26">
        <f t="shared" si="2"/>
        <v>0.19930203176861072</v>
      </c>
      <c r="J26">
        <v>102.58417</v>
      </c>
      <c r="K26">
        <v>0.41097</v>
      </c>
      <c r="L26">
        <f t="shared" si="5"/>
        <v>-0.38618987960807954</v>
      </c>
      <c r="M26">
        <v>9.4444099999999995</v>
      </c>
      <c r="N26">
        <f t="shared" si="3"/>
        <v>0.97517483237455727</v>
      </c>
      <c r="O26">
        <v>120.7385</v>
      </c>
      <c r="P26">
        <v>-0.92684999999999995</v>
      </c>
      <c r="Q26">
        <v>2.0965600000000002</v>
      </c>
      <c r="R26">
        <v>0.84743999999999997</v>
      </c>
      <c r="S26">
        <v>21.3292</v>
      </c>
      <c r="T26">
        <v>229.8459023014056</v>
      </c>
      <c r="U26">
        <v>268.05511999999999</v>
      </c>
      <c r="V26">
        <v>27.491520000000001</v>
      </c>
      <c r="W26">
        <v>19.576740000000001</v>
      </c>
      <c r="X26">
        <v>35.599690000000002</v>
      </c>
      <c r="Y26">
        <v>12.16226</v>
      </c>
      <c r="Z26">
        <v>23.437439999999999</v>
      </c>
      <c r="AA26">
        <v>27.772829999999999</v>
      </c>
      <c r="AB26">
        <v>0.21798999999999999</v>
      </c>
      <c r="AC26">
        <v>46.517740000000003</v>
      </c>
      <c r="AD26">
        <v>2.0739999999999998</v>
      </c>
      <c r="AE26">
        <v>2.7210000000000001</v>
      </c>
      <c r="AF26">
        <v>2149.4074570896473</v>
      </c>
      <c r="AG26">
        <v>3579.244287178542</v>
      </c>
      <c r="AH26">
        <v>2749.5687420550389</v>
      </c>
    </row>
    <row r="27" spans="1:34" x14ac:dyDescent="0.25">
      <c r="A27" s="1">
        <v>0.375</v>
      </c>
      <c r="B27" s="1">
        <v>0.5</v>
      </c>
      <c r="C27">
        <v>0.773372155947321</v>
      </c>
      <c r="D27">
        <f t="shared" si="0"/>
        <v>716.76</v>
      </c>
      <c r="E27">
        <f t="shared" si="1"/>
        <v>0.605990644877062</v>
      </c>
      <c r="F27">
        <f t="shared" si="4"/>
        <v>1182.7905365526062</v>
      </c>
      <c r="G27">
        <v>10.5755414970931</v>
      </c>
      <c r="H27">
        <v>962.56073000000004</v>
      </c>
      <c r="I27">
        <f t="shared" si="2"/>
        <v>0.2282031128496918</v>
      </c>
      <c r="J27">
        <v>143.82884000000001</v>
      </c>
      <c r="K27">
        <v>0.34745999999999999</v>
      </c>
      <c r="L27">
        <f t="shared" si="5"/>
        <v>-0.45909518468298244</v>
      </c>
      <c r="M27">
        <v>5.5126299999999997</v>
      </c>
      <c r="N27">
        <f t="shared" si="3"/>
        <v>0.74135884422046394</v>
      </c>
      <c r="O27">
        <v>1048.6410000000001</v>
      </c>
      <c r="P27">
        <v>-0.76881999999999995</v>
      </c>
      <c r="Q27">
        <v>2.12297</v>
      </c>
      <c r="R27">
        <v>0.86990000000000001</v>
      </c>
      <c r="S27">
        <v>16.926690000000001</v>
      </c>
      <c r="T27">
        <v>230.46485471228689</v>
      </c>
      <c r="U27">
        <v>267.18466999999998</v>
      </c>
      <c r="V27">
        <v>25.70805</v>
      </c>
      <c r="W27">
        <v>19.210940000000001</v>
      </c>
      <c r="X27">
        <v>33.834580000000003</v>
      </c>
      <c r="Y27">
        <v>12.1898</v>
      </c>
      <c r="Z27">
        <v>21.644780000000001</v>
      </c>
      <c r="AA27">
        <v>27.513169999999999</v>
      </c>
      <c r="AB27">
        <v>0.20419000000000001</v>
      </c>
      <c r="AC27">
        <v>45.628709999999998</v>
      </c>
      <c r="AD27">
        <v>2.0720000000000001</v>
      </c>
      <c r="AE27">
        <v>2.7410000000000001</v>
      </c>
      <c r="AF27">
        <v>2161.907838050151</v>
      </c>
      <c r="AG27">
        <v>3545.9604496206684</v>
      </c>
      <c r="AH27">
        <v>2752.7320375166314</v>
      </c>
    </row>
    <row r="28" spans="1:34" x14ac:dyDescent="0.25">
      <c r="A28" s="1">
        <v>0.5</v>
      </c>
      <c r="B28" s="1">
        <v>0.5</v>
      </c>
      <c r="C28">
        <v>0.78369930852707603</v>
      </c>
      <c r="D28">
        <f t="shared" si="0"/>
        <v>706.15000000000009</v>
      </c>
      <c r="E28">
        <f t="shared" si="1"/>
        <v>0.59474883805864842</v>
      </c>
      <c r="F28">
        <f t="shared" si="4"/>
        <v>1187.3079101843766</v>
      </c>
      <c r="G28">
        <v>10.5889879413757</v>
      </c>
      <c r="H28">
        <v>1102.84331</v>
      </c>
      <c r="I28">
        <f t="shared" si="2"/>
        <v>0.26146119250829775</v>
      </c>
      <c r="J28">
        <v>218.48114000000001</v>
      </c>
      <c r="K28">
        <v>0.38778000000000001</v>
      </c>
      <c r="L28">
        <f t="shared" si="5"/>
        <v>-0.41141459369368361</v>
      </c>
      <c r="M28">
        <v>5.8506299999999998</v>
      </c>
      <c r="N28">
        <f t="shared" si="3"/>
        <v>0.76720263373894138</v>
      </c>
      <c r="O28">
        <v>959.16269999999997</v>
      </c>
      <c r="P28">
        <v>-0.61721000000000004</v>
      </c>
      <c r="Q28">
        <v>1.9777400000000001</v>
      </c>
      <c r="R28">
        <v>0.90351000000000004</v>
      </c>
      <c r="S28">
        <v>14.71946</v>
      </c>
      <c r="T28">
        <v>231.46251266645635</v>
      </c>
      <c r="U28">
        <v>267.24243000000001</v>
      </c>
      <c r="V28">
        <v>24.51125</v>
      </c>
      <c r="W28">
        <v>18.844370000000001</v>
      </c>
      <c r="X28">
        <v>32.76979</v>
      </c>
      <c r="Y28">
        <v>12.38781</v>
      </c>
      <c r="Z28">
        <v>20.381979999999999</v>
      </c>
      <c r="AA28">
        <v>27.278009999999998</v>
      </c>
      <c r="AB28">
        <v>0.19400999999999999</v>
      </c>
      <c r="AC28">
        <v>45.000819999999997</v>
      </c>
      <c r="AD28">
        <v>2.056</v>
      </c>
      <c r="AE28">
        <v>2.758</v>
      </c>
      <c r="AF28">
        <v>2176.397733007967</v>
      </c>
      <c r="AG28">
        <v>3532.2431149932413</v>
      </c>
      <c r="AH28">
        <v>2761.9738951450131</v>
      </c>
    </row>
    <row r="29" spans="1:34" x14ac:dyDescent="0.25">
      <c r="A29" s="1">
        <v>0.625</v>
      </c>
      <c r="B29" s="1">
        <v>0.5</v>
      </c>
      <c r="C29">
        <v>0.85296998871407204</v>
      </c>
      <c r="D29">
        <f t="shared" si="0"/>
        <v>695.54000000000008</v>
      </c>
      <c r="E29">
        <f t="shared" si="1"/>
        <v>0.5826318077472058</v>
      </c>
      <c r="F29">
        <f t="shared" si="4"/>
        <v>1193.7899557687438</v>
      </c>
      <c r="G29">
        <v>10.608222988533701</v>
      </c>
      <c r="H29">
        <v>1039.12168</v>
      </c>
      <c r="I29">
        <f t="shared" si="2"/>
        <v>0.2463541204362257</v>
      </c>
      <c r="J29">
        <v>291.46802000000002</v>
      </c>
      <c r="K29">
        <v>0.41686000000000001</v>
      </c>
      <c r="L29">
        <f t="shared" si="5"/>
        <v>-0.38000977580847872</v>
      </c>
      <c r="M29">
        <v>2.9925999999999999</v>
      </c>
      <c r="N29">
        <f t="shared" si="3"/>
        <v>0.47604867160060976</v>
      </c>
      <c r="O29">
        <v>967.94989999999996</v>
      </c>
      <c r="P29">
        <v>-0.55179999999999996</v>
      </c>
      <c r="Q29">
        <v>2.0844900000000002</v>
      </c>
      <c r="R29">
        <v>0.95191999999999999</v>
      </c>
      <c r="S29">
        <v>13.18533</v>
      </c>
      <c r="T29">
        <v>233.14149785067849</v>
      </c>
      <c r="U29">
        <v>267.26190000000003</v>
      </c>
      <c r="V29">
        <v>24.019559999999998</v>
      </c>
      <c r="W29">
        <v>18.543140000000001</v>
      </c>
      <c r="X29">
        <v>31.81897</v>
      </c>
      <c r="Y29">
        <v>11.699109999999999</v>
      </c>
      <c r="Z29">
        <v>20.119859999999999</v>
      </c>
      <c r="AA29">
        <v>27.459379999999999</v>
      </c>
      <c r="AB29">
        <v>0.18942999999999999</v>
      </c>
      <c r="AC29">
        <v>44.759160000000001</v>
      </c>
      <c r="AD29">
        <v>2.0419999999999998</v>
      </c>
      <c r="AE29">
        <v>2.7690000000000001</v>
      </c>
      <c r="AF29">
        <v>2197.2322026803231</v>
      </c>
      <c r="AG29">
        <v>3549.6831093162068</v>
      </c>
      <c r="AH29">
        <v>2784.307684968328</v>
      </c>
    </row>
    <row r="30" spans="1:34" x14ac:dyDescent="0.25">
      <c r="A30" s="1">
        <v>0.75</v>
      </c>
      <c r="B30" s="1">
        <v>0.5</v>
      </c>
      <c r="C30">
        <v>0.71802497366040496</v>
      </c>
      <c r="D30">
        <f t="shared" si="0"/>
        <v>684.93000000000006</v>
      </c>
      <c r="E30">
        <f t="shared" si="1"/>
        <v>0.57165263330826255</v>
      </c>
      <c r="F30">
        <f t="shared" si="4"/>
        <v>1198.1576924367162</v>
      </c>
      <c r="G30">
        <v>10.6211447288979</v>
      </c>
      <c r="H30">
        <v>971.28498999999999</v>
      </c>
      <c r="I30">
        <f t="shared" si="2"/>
        <v>0.23027145329540066</v>
      </c>
      <c r="J30">
        <v>396.43331999999998</v>
      </c>
      <c r="K30">
        <v>0.30204999999999999</v>
      </c>
      <c r="L30">
        <f t="shared" si="5"/>
        <v>-0.51992115993451482</v>
      </c>
      <c r="M30">
        <v>2.08466</v>
      </c>
      <c r="N30">
        <f t="shared" si="3"/>
        <v>0.31903523333155537</v>
      </c>
      <c r="O30">
        <v>979.15089999999998</v>
      </c>
      <c r="P30">
        <v>-0.41453000000000001</v>
      </c>
      <c r="Q30">
        <v>2.0220500000000001</v>
      </c>
      <c r="R30">
        <v>1.0103800000000001</v>
      </c>
      <c r="S30">
        <v>11.864050000000001</v>
      </c>
      <c r="T30">
        <v>235.85259670523669</v>
      </c>
      <c r="U30">
        <v>266.56605000000002</v>
      </c>
      <c r="V30">
        <v>23.55152</v>
      </c>
      <c r="W30">
        <v>18.230080000000001</v>
      </c>
      <c r="X30">
        <v>31.668199999999999</v>
      </c>
      <c r="Y30">
        <v>12.17501</v>
      </c>
      <c r="Z30">
        <v>19.493179999999999</v>
      </c>
      <c r="AA30">
        <v>27.551459999999999</v>
      </c>
      <c r="AB30">
        <v>0.18256</v>
      </c>
      <c r="AC30">
        <v>44.85671</v>
      </c>
      <c r="AD30">
        <v>2.0209999999999999</v>
      </c>
      <c r="AE30">
        <v>2.8679999999999999</v>
      </c>
      <c r="AF30">
        <v>2227.0889472352364</v>
      </c>
      <c r="AG30">
        <v>3573.8477267344147</v>
      </c>
      <c r="AH30">
        <v>2816.0121383730961</v>
      </c>
    </row>
    <row r="31" spans="1:34" x14ac:dyDescent="0.25">
      <c r="A31" s="1">
        <v>0.875</v>
      </c>
      <c r="B31" s="1">
        <v>0.5</v>
      </c>
      <c r="C31">
        <v>0.61596161792743698</v>
      </c>
      <c r="D31">
        <f t="shared" si="0"/>
        <v>674.32</v>
      </c>
      <c r="E31">
        <f t="shared" si="1"/>
        <v>0.55920608917896497</v>
      </c>
      <c r="F31">
        <f t="shared" si="4"/>
        <v>1205.8523915396686</v>
      </c>
      <c r="G31">
        <v>10.643832945061501</v>
      </c>
      <c r="H31">
        <v>1309.9162200000001</v>
      </c>
      <c r="I31">
        <f t="shared" si="2"/>
        <v>0.31055386913229022</v>
      </c>
      <c r="J31">
        <v>697.70965000000001</v>
      </c>
      <c r="K31">
        <v>0.25557000000000002</v>
      </c>
      <c r="L31">
        <f t="shared" si="5"/>
        <v>-0.59249012703601567</v>
      </c>
      <c r="M31">
        <v>1.58222</v>
      </c>
      <c r="N31">
        <f t="shared" si="3"/>
        <v>0.19926686989692435</v>
      </c>
      <c r="O31">
        <v>912.02350000000001</v>
      </c>
      <c r="P31">
        <v>-0.31287999999999999</v>
      </c>
      <c r="Q31">
        <v>1.9234100000000001</v>
      </c>
      <c r="R31">
        <v>1.0467200000000001</v>
      </c>
      <c r="S31">
        <v>11.52148</v>
      </c>
      <c r="T31">
        <v>237.42772144614273</v>
      </c>
      <c r="U31">
        <v>266.3809</v>
      </c>
      <c r="V31">
        <v>22.403929999999999</v>
      </c>
      <c r="W31">
        <v>17.841249999999999</v>
      </c>
      <c r="X31">
        <v>30.10144</v>
      </c>
      <c r="Y31">
        <v>11.54626</v>
      </c>
      <c r="Z31">
        <v>18.55517</v>
      </c>
      <c r="AA31">
        <v>27.69998</v>
      </c>
      <c r="AB31">
        <v>0.17038</v>
      </c>
      <c r="AC31">
        <v>44.308790000000002</v>
      </c>
      <c r="AD31">
        <v>2.0179999999999998</v>
      </c>
      <c r="AE31">
        <v>3.2629999999999999</v>
      </c>
      <c r="AF31">
        <v>2249.5690554054718</v>
      </c>
      <c r="AG31">
        <v>3568.879544552894</v>
      </c>
      <c r="AH31">
        <v>2833.7263634226806</v>
      </c>
    </row>
    <row r="32" spans="1:34" x14ac:dyDescent="0.25">
      <c r="A32" s="1">
        <v>0.25</v>
      </c>
      <c r="B32" s="1">
        <v>0.625</v>
      </c>
      <c r="C32">
        <v>0.69477234180198999</v>
      </c>
      <c r="D32">
        <f t="shared" si="0"/>
        <v>715.47500000000002</v>
      </c>
      <c r="E32">
        <f t="shared" si="1"/>
        <v>0.61488695648050118</v>
      </c>
      <c r="F32">
        <f t="shared" si="4"/>
        <v>1163.5878635241284</v>
      </c>
      <c r="G32">
        <v>10.5179974439696</v>
      </c>
      <c r="H32">
        <v>1382.0274099999999</v>
      </c>
      <c r="I32">
        <f t="shared" si="2"/>
        <v>0.32764993124703651</v>
      </c>
      <c r="J32">
        <v>248.61098999999999</v>
      </c>
      <c r="K32">
        <v>0.56935000000000002</v>
      </c>
      <c r="L32">
        <f t="shared" si="5"/>
        <v>-0.24462067501406323</v>
      </c>
      <c r="M32">
        <v>4.5515400000000001</v>
      </c>
      <c r="N32">
        <f t="shared" si="3"/>
        <v>0.65815836376564874</v>
      </c>
      <c r="O32">
        <v>4205.335</v>
      </c>
      <c r="P32">
        <v>-1.0725100000000001</v>
      </c>
      <c r="Q32">
        <v>2.3565800000000001</v>
      </c>
      <c r="R32">
        <v>0.87075999999999998</v>
      </c>
      <c r="S32">
        <v>21.548500000000001</v>
      </c>
      <c r="T32">
        <v>230.37577397892903</v>
      </c>
      <c r="U32">
        <v>268.74167</v>
      </c>
      <c r="V32">
        <v>27.654240000000001</v>
      </c>
      <c r="W32">
        <v>19.583120000000001</v>
      </c>
      <c r="X32">
        <v>36.051490000000001</v>
      </c>
      <c r="Y32">
        <v>12.595879999999999</v>
      </c>
      <c r="Z32">
        <v>23.45561</v>
      </c>
      <c r="AA32">
        <v>27.355979999999999</v>
      </c>
      <c r="AB32">
        <v>0.22128999999999999</v>
      </c>
      <c r="AC32">
        <v>46.24485</v>
      </c>
      <c r="AD32">
        <v>2.125</v>
      </c>
      <c r="AE32">
        <v>2.8420000000000001</v>
      </c>
      <c r="AF32">
        <v>2145.2827321425793</v>
      </c>
      <c r="AG32">
        <v>3585.8888268297414</v>
      </c>
      <c r="AH32">
        <v>2747.4131142529286</v>
      </c>
    </row>
    <row r="33" spans="1:34" x14ac:dyDescent="0.25">
      <c r="A33" s="1">
        <v>0.375</v>
      </c>
      <c r="B33" s="1">
        <v>0.625</v>
      </c>
      <c r="C33">
        <v>0.73324000254120603</v>
      </c>
      <c r="D33">
        <f t="shared" si="0"/>
        <v>704.86500000000001</v>
      </c>
      <c r="E33">
        <f t="shared" si="1"/>
        <v>0.60292112552272714</v>
      </c>
      <c r="F33">
        <f t="shared" si="4"/>
        <v>1169.0832683775816</v>
      </c>
      <c r="G33">
        <v>10.534529614327299</v>
      </c>
      <c r="H33">
        <v>1815.64418</v>
      </c>
      <c r="I33">
        <f t="shared" si="2"/>
        <v>0.43045144144144143</v>
      </c>
      <c r="J33">
        <v>301.79347000000001</v>
      </c>
      <c r="K33">
        <v>0.4491</v>
      </c>
      <c r="L33">
        <f t="shared" si="5"/>
        <v>-0.34765694493728522</v>
      </c>
      <c r="M33">
        <v>1.8183499999999999</v>
      </c>
      <c r="N33">
        <f t="shared" si="3"/>
        <v>0.25967748088748066</v>
      </c>
      <c r="O33">
        <v>662.0154</v>
      </c>
      <c r="P33">
        <v>-0.92081000000000002</v>
      </c>
      <c r="Q33">
        <v>2.3162699999999998</v>
      </c>
      <c r="R33">
        <v>0.88300999999999996</v>
      </c>
      <c r="S33">
        <v>17.573029999999999</v>
      </c>
      <c r="T33">
        <v>230.96853662787521</v>
      </c>
      <c r="U33">
        <v>268.25889999999998</v>
      </c>
      <c r="V33">
        <v>25.859780000000001</v>
      </c>
      <c r="W33">
        <v>19.20374</v>
      </c>
      <c r="X33">
        <v>34.259050000000002</v>
      </c>
      <c r="Y33">
        <v>12.59892</v>
      </c>
      <c r="Z33">
        <v>21.660139999999998</v>
      </c>
      <c r="AA33">
        <v>27.091390000000001</v>
      </c>
      <c r="AB33">
        <v>0.20771999999999999</v>
      </c>
      <c r="AC33">
        <v>45.349119999999999</v>
      </c>
      <c r="AD33">
        <v>2.1259999999999999</v>
      </c>
      <c r="AE33">
        <v>2.8519999999999999</v>
      </c>
      <c r="AF33">
        <v>2157.4028369373391</v>
      </c>
      <c r="AG33">
        <v>3552.0004603887151</v>
      </c>
      <c r="AH33">
        <v>2750.2303943671354</v>
      </c>
    </row>
    <row r="34" spans="1:34" x14ac:dyDescent="0.25">
      <c r="A34" s="1">
        <v>0.5</v>
      </c>
      <c r="B34" s="1">
        <v>0.625</v>
      </c>
      <c r="C34">
        <v>0.77799767700705702</v>
      </c>
      <c r="D34">
        <f t="shared" si="0"/>
        <v>694.255</v>
      </c>
      <c r="E34">
        <f t="shared" si="1"/>
        <v>0.59149722914629899</v>
      </c>
      <c r="F34">
        <f t="shared" si="4"/>
        <v>1173.7248558239403</v>
      </c>
      <c r="G34">
        <v>10.548452880126501</v>
      </c>
      <c r="H34">
        <v>1974.50947</v>
      </c>
      <c r="I34">
        <f t="shared" si="2"/>
        <v>0.46811509483167379</v>
      </c>
      <c r="J34">
        <v>380.64503000000002</v>
      </c>
      <c r="K34">
        <v>0.46126</v>
      </c>
      <c r="L34">
        <f t="shared" si="5"/>
        <v>-0.33605420533642422</v>
      </c>
      <c r="M34">
        <v>2.9638100000000001</v>
      </c>
      <c r="N34">
        <f t="shared" si="3"/>
        <v>0.4718503590250987</v>
      </c>
      <c r="O34">
        <v>749.83920000000001</v>
      </c>
      <c r="P34">
        <v>-0.75036000000000003</v>
      </c>
      <c r="Q34">
        <v>2.2264900000000001</v>
      </c>
      <c r="R34">
        <v>0.91547999999999996</v>
      </c>
      <c r="S34">
        <v>15.00666</v>
      </c>
      <c r="T34">
        <v>231.22444045147344</v>
      </c>
      <c r="U34">
        <v>267.90865000000002</v>
      </c>
      <c r="V34">
        <v>24.62743</v>
      </c>
      <c r="W34">
        <v>18.815449999999998</v>
      </c>
      <c r="X34">
        <v>32.809530000000002</v>
      </c>
      <c r="Y34">
        <v>12.273149999999999</v>
      </c>
      <c r="Z34">
        <v>20.536390000000001</v>
      </c>
      <c r="AA34">
        <v>26.81418</v>
      </c>
      <c r="AB34">
        <v>0.19905999999999999</v>
      </c>
      <c r="AC34">
        <v>44.468589999999999</v>
      </c>
      <c r="AD34">
        <v>2.12</v>
      </c>
      <c r="AE34">
        <v>2.87</v>
      </c>
      <c r="AF34">
        <v>2164.6715858771222</v>
      </c>
      <c r="AG34">
        <v>3531.4341226924626</v>
      </c>
      <c r="AH34">
        <v>2751.6021716487444</v>
      </c>
    </row>
    <row r="35" spans="1:34" x14ac:dyDescent="0.25">
      <c r="A35" s="1">
        <v>0.625</v>
      </c>
      <c r="B35" s="1">
        <v>0.625</v>
      </c>
      <c r="C35">
        <v>0.82887376465759999</v>
      </c>
      <c r="D35">
        <f t="shared" si="0"/>
        <v>683.64499999999998</v>
      </c>
      <c r="E35">
        <f t="shared" si="1"/>
        <v>0.57918586799531369</v>
      </c>
      <c r="F35">
        <f t="shared" si="4"/>
        <v>1180.3551118507808</v>
      </c>
      <c r="G35">
        <v>10.568277987047701</v>
      </c>
      <c r="H35">
        <v>1686.1468299999999</v>
      </c>
      <c r="I35">
        <f t="shared" si="2"/>
        <v>0.3997503153153153</v>
      </c>
      <c r="J35">
        <v>486.05052999999998</v>
      </c>
      <c r="K35">
        <v>0.40487000000000001</v>
      </c>
      <c r="L35">
        <f t="shared" si="5"/>
        <v>-0.39268440233049878</v>
      </c>
      <c r="M35">
        <v>1.83022</v>
      </c>
      <c r="N35">
        <f t="shared" si="3"/>
        <v>0.26250329685794299</v>
      </c>
      <c r="O35">
        <v>768.60140000000001</v>
      </c>
      <c r="P35">
        <v>-0.56540000000000001</v>
      </c>
      <c r="Q35">
        <v>2.1947700000000001</v>
      </c>
      <c r="R35">
        <v>0.96123000000000003</v>
      </c>
      <c r="S35">
        <v>13.202159999999999</v>
      </c>
      <c r="T35">
        <v>232.88904932607912</v>
      </c>
      <c r="U35">
        <v>267.26463999999999</v>
      </c>
      <c r="V35">
        <v>23.09441</v>
      </c>
      <c r="W35">
        <v>18.550830000000001</v>
      </c>
      <c r="X35">
        <v>31.005880000000001</v>
      </c>
      <c r="Y35">
        <v>11.86721</v>
      </c>
      <c r="Z35">
        <v>19.138670000000001</v>
      </c>
      <c r="AA35">
        <v>26.962309999999999</v>
      </c>
      <c r="AB35">
        <v>0.1832</v>
      </c>
      <c r="AC35">
        <v>43.898510000000002</v>
      </c>
      <c r="AD35">
        <v>2.1030000000000002</v>
      </c>
      <c r="AE35">
        <v>2.8839999999999999</v>
      </c>
      <c r="AF35">
        <v>2188.0150760150209</v>
      </c>
      <c r="AG35">
        <v>3513.2868246667126</v>
      </c>
      <c r="AH35">
        <v>2767.1556190226943</v>
      </c>
    </row>
    <row r="36" spans="1:34" x14ac:dyDescent="0.25">
      <c r="A36" s="1">
        <v>0.75</v>
      </c>
      <c r="B36" s="1">
        <v>0.625</v>
      </c>
      <c r="C36">
        <v>0.67703053672334801</v>
      </c>
      <c r="D36">
        <f t="shared" si="0"/>
        <v>673.03500000000008</v>
      </c>
      <c r="E36">
        <f t="shared" si="1"/>
        <v>0.56803308260753527</v>
      </c>
      <c r="F36">
        <f t="shared" si="4"/>
        <v>1184.851764109332</v>
      </c>
      <c r="G36">
        <v>10.5816811999004</v>
      </c>
      <c r="H36">
        <v>1643.35475</v>
      </c>
      <c r="I36">
        <f t="shared" si="2"/>
        <v>0.38960520388809861</v>
      </c>
      <c r="J36">
        <v>531.88058999999998</v>
      </c>
      <c r="K36">
        <v>0.22539999999999999</v>
      </c>
      <c r="L36">
        <f t="shared" si="5"/>
        <v>-0.64704608828991228</v>
      </c>
      <c r="M36">
        <v>1.8193900000000001</v>
      </c>
      <c r="N36">
        <f t="shared" si="3"/>
        <v>0.25992580334784615</v>
      </c>
      <c r="O36">
        <v>705.16560000000004</v>
      </c>
      <c r="P36">
        <v>-0.45230999999999999</v>
      </c>
      <c r="Q36">
        <v>2.0562299999999998</v>
      </c>
      <c r="R36">
        <v>0.99570999999999998</v>
      </c>
      <c r="S36">
        <v>11.18539</v>
      </c>
      <c r="T36">
        <v>235.26036966057063</v>
      </c>
      <c r="U36">
        <v>268.17711000000003</v>
      </c>
      <c r="V36">
        <v>22.152259999999998</v>
      </c>
      <c r="W36">
        <v>18.345140000000001</v>
      </c>
      <c r="X36">
        <v>30.17531</v>
      </c>
      <c r="Y36">
        <v>12.034560000000001</v>
      </c>
      <c r="Z36">
        <v>18.140740000000001</v>
      </c>
      <c r="AA36">
        <v>27.08718</v>
      </c>
      <c r="AB36">
        <v>0.17116999999999999</v>
      </c>
      <c r="AC36">
        <v>43.706180000000003</v>
      </c>
      <c r="AD36">
        <v>2.0790000000000002</v>
      </c>
      <c r="AE36">
        <v>2.9209999999999998</v>
      </c>
      <c r="AF36">
        <v>2215.8400634267418</v>
      </c>
      <c r="AG36">
        <v>3517.9107684971805</v>
      </c>
      <c r="AH36">
        <v>2791.9115450324275</v>
      </c>
    </row>
    <row r="37" spans="1:34" x14ac:dyDescent="0.25">
      <c r="A37" s="1">
        <v>0.875</v>
      </c>
      <c r="B37" s="1">
        <v>0.625</v>
      </c>
      <c r="C37">
        <v>0.56039951117522602</v>
      </c>
      <c r="D37">
        <f t="shared" si="0"/>
        <v>662.42499999999995</v>
      </c>
      <c r="E37">
        <f t="shared" si="1"/>
        <v>0.55585384855699027</v>
      </c>
      <c r="F37">
        <f t="shared" si="4"/>
        <v>1191.7251301212916</v>
      </c>
      <c r="G37">
        <v>10.6021033268936</v>
      </c>
      <c r="H37">
        <v>1638.9590900000001</v>
      </c>
      <c r="I37">
        <f t="shared" si="2"/>
        <v>0.38856308440018966</v>
      </c>
      <c r="J37">
        <v>685.50135</v>
      </c>
      <c r="K37">
        <v>0.23468</v>
      </c>
      <c r="L37">
        <f t="shared" si="5"/>
        <v>-0.62952392045570593</v>
      </c>
      <c r="M37">
        <v>1.7173700000000001</v>
      </c>
      <c r="N37">
        <f t="shared" si="3"/>
        <v>0.23486387212491625</v>
      </c>
      <c r="O37">
        <v>697.27080000000001</v>
      </c>
      <c r="P37">
        <v>-0.35132000000000002</v>
      </c>
      <c r="Q37">
        <v>1.95604</v>
      </c>
      <c r="R37">
        <v>1.01867</v>
      </c>
      <c r="S37">
        <v>10.53262</v>
      </c>
      <c r="T37">
        <v>236.6518888592141</v>
      </c>
      <c r="U37">
        <v>267.30459999999999</v>
      </c>
      <c r="V37">
        <v>21.586469999999998</v>
      </c>
      <c r="W37">
        <v>17.842420000000001</v>
      </c>
      <c r="X37">
        <v>29.356339999999999</v>
      </c>
      <c r="Y37">
        <v>11.6548</v>
      </c>
      <c r="Z37">
        <v>17.701540000000001</v>
      </c>
      <c r="AA37">
        <v>27.0608</v>
      </c>
      <c r="AB37">
        <v>0.16575999999999999</v>
      </c>
      <c r="AC37">
        <v>43.29036</v>
      </c>
      <c r="AD37">
        <v>2.0619999999999998</v>
      </c>
      <c r="AE37">
        <v>3.242</v>
      </c>
      <c r="AF37">
        <v>2234.4729919473302</v>
      </c>
      <c r="AG37">
        <v>3530.1361573131985</v>
      </c>
      <c r="AH37">
        <v>2810.7682613396059</v>
      </c>
    </row>
    <row r="38" spans="1:34" x14ac:dyDescent="0.25">
      <c r="A38" s="1">
        <v>0.25</v>
      </c>
      <c r="B38" s="1">
        <v>0.75</v>
      </c>
      <c r="C38">
        <v>0.54908656204978101</v>
      </c>
      <c r="D38">
        <f t="shared" si="0"/>
        <v>703.58</v>
      </c>
      <c r="E38">
        <f t="shared" si="1"/>
        <v>0.61066478062250973</v>
      </c>
      <c r="F38">
        <f t="shared" si="4"/>
        <v>1152.1542134504184</v>
      </c>
      <c r="G38">
        <v>10.4834333263035</v>
      </c>
      <c r="H38">
        <v>2202.4863399999999</v>
      </c>
      <c r="I38">
        <f t="shared" si="2"/>
        <v>0.52216366524419155</v>
      </c>
      <c r="J38">
        <v>392.20105000000001</v>
      </c>
      <c r="K38">
        <v>0.88426000000000005</v>
      </c>
      <c r="L38">
        <f t="shared" si="5"/>
        <v>-5.342002009645988E-2</v>
      </c>
      <c r="M38">
        <v>1.6360600000000001</v>
      </c>
      <c r="N38">
        <f t="shared" si="3"/>
        <v>0.21379922671372462</v>
      </c>
      <c r="O38">
        <v>3500</v>
      </c>
      <c r="P38">
        <v>-1.15665</v>
      </c>
      <c r="Q38">
        <v>2.54914</v>
      </c>
      <c r="R38">
        <v>0.88170999999999999</v>
      </c>
      <c r="S38">
        <v>16.432780000000001</v>
      </c>
      <c r="T38">
        <v>230.44027182005078</v>
      </c>
      <c r="U38">
        <v>271.13986</v>
      </c>
      <c r="V38">
        <v>28.239159999999998</v>
      </c>
      <c r="W38">
        <v>19.73002</v>
      </c>
      <c r="X38">
        <v>36.715139999999998</v>
      </c>
      <c r="Y38">
        <v>12.71396</v>
      </c>
      <c r="Z38">
        <v>24.001180000000002</v>
      </c>
      <c r="AA38">
        <v>26.861599999999999</v>
      </c>
      <c r="AB38">
        <v>0.22925000000000001</v>
      </c>
      <c r="AC38">
        <v>45.874920000000003</v>
      </c>
      <c r="AD38">
        <v>2.15</v>
      </c>
      <c r="AE38">
        <v>2.8889999999999998</v>
      </c>
      <c r="AF38">
        <v>2136.9235188239218</v>
      </c>
      <c r="AG38">
        <v>3605.4567772998648</v>
      </c>
      <c r="AH38">
        <v>2744.3125311919766</v>
      </c>
    </row>
    <row r="39" spans="1:34" x14ac:dyDescent="0.25">
      <c r="A39" s="1">
        <v>0.375</v>
      </c>
      <c r="B39" s="1">
        <v>0.75</v>
      </c>
      <c r="C39">
        <v>0.68431747130605003</v>
      </c>
      <c r="D39">
        <f t="shared" si="0"/>
        <v>692.97</v>
      </c>
      <c r="E39">
        <f t="shared" si="1"/>
        <v>0.59853272387365941</v>
      </c>
      <c r="F39">
        <f t="shared" si="4"/>
        <v>1157.7813081215502</v>
      </c>
      <c r="G39">
        <v>10.5004725656445</v>
      </c>
      <c r="H39">
        <v>3058.5313900000001</v>
      </c>
      <c r="I39">
        <f t="shared" si="2"/>
        <v>0.72511412754860127</v>
      </c>
      <c r="J39">
        <v>444.72037</v>
      </c>
      <c r="K39">
        <v>0.73102</v>
      </c>
      <c r="L39">
        <f t="shared" si="5"/>
        <v>-0.13607074100271654</v>
      </c>
      <c r="M39">
        <v>0.87331000000000003</v>
      </c>
      <c r="N39">
        <f t="shared" si="3"/>
        <v>-5.8831566842609914E-2</v>
      </c>
      <c r="O39">
        <v>150</v>
      </c>
      <c r="P39">
        <v>-1.01677</v>
      </c>
      <c r="Q39">
        <v>2.56941</v>
      </c>
      <c r="R39">
        <v>0.87539</v>
      </c>
      <c r="S39">
        <v>17.544519999999999</v>
      </c>
      <c r="T39">
        <v>230.79297163985032</v>
      </c>
      <c r="U39">
        <v>271.95528000000002</v>
      </c>
      <c r="V39">
        <v>26.566109999999998</v>
      </c>
      <c r="W39">
        <v>19.371860000000002</v>
      </c>
      <c r="X39">
        <v>35.004309999999997</v>
      </c>
      <c r="Y39">
        <v>12.65729</v>
      </c>
      <c r="Z39">
        <v>22.347020000000001</v>
      </c>
      <c r="AA39">
        <v>26.532620000000001</v>
      </c>
      <c r="AB39">
        <v>0.21801999999999999</v>
      </c>
      <c r="AC39">
        <v>44.947310000000002</v>
      </c>
      <c r="AD39">
        <v>2.1480000000000001</v>
      </c>
      <c r="AE39">
        <v>2.899</v>
      </c>
      <c r="AF39">
        <v>2146.3675683981232</v>
      </c>
      <c r="AG39">
        <v>3574.298431138207</v>
      </c>
      <c r="AH39">
        <v>2745.7070360074426</v>
      </c>
    </row>
    <row r="40" spans="1:34" x14ac:dyDescent="0.25">
      <c r="A40" s="1">
        <v>0.5</v>
      </c>
      <c r="B40" s="1">
        <v>0.75</v>
      </c>
      <c r="C40">
        <v>0.64024869939648099</v>
      </c>
      <c r="D40">
        <f t="shared" si="0"/>
        <v>682.36</v>
      </c>
      <c r="E40">
        <f t="shared" si="1"/>
        <v>0.58724538012524741</v>
      </c>
      <c r="F40">
        <f t="shared" si="4"/>
        <v>1161.9674212753562</v>
      </c>
      <c r="G40">
        <v>10.5131126315221</v>
      </c>
      <c r="H40">
        <v>3248.61571</v>
      </c>
      <c r="I40">
        <f t="shared" si="2"/>
        <v>0.77017916311047896</v>
      </c>
      <c r="J40">
        <v>528.31519000000003</v>
      </c>
      <c r="K40">
        <v>0.70365999999999995</v>
      </c>
      <c r="L40">
        <f t="shared" si="5"/>
        <v>-0.15263713601683043</v>
      </c>
      <c r="M40">
        <v>1.76807</v>
      </c>
      <c r="N40">
        <f t="shared" si="3"/>
        <v>0.24749945525393607</v>
      </c>
      <c r="O40">
        <v>865.71680000000003</v>
      </c>
      <c r="P40">
        <v>-0.88144999999999996</v>
      </c>
      <c r="Q40">
        <v>2.61754</v>
      </c>
      <c r="R40">
        <v>0.91086999999999996</v>
      </c>
      <c r="S40">
        <v>15.266</v>
      </c>
      <c r="T40">
        <v>231.05536144076788</v>
      </c>
      <c r="U40">
        <v>271.62963000000002</v>
      </c>
      <c r="V40">
        <v>25.083069999999999</v>
      </c>
      <c r="W40">
        <v>18.965879999999999</v>
      </c>
      <c r="X40">
        <v>33.1571</v>
      </c>
      <c r="Y40">
        <v>12.111050000000001</v>
      </c>
      <c r="Z40">
        <v>21.046050000000001</v>
      </c>
      <c r="AA40">
        <v>26.346450000000001</v>
      </c>
      <c r="AB40">
        <v>0.20746999999999999</v>
      </c>
      <c r="AC40">
        <v>44.024700000000003</v>
      </c>
      <c r="AD40">
        <v>2.1419999999999999</v>
      </c>
      <c r="AE40">
        <v>2.9089999999999998</v>
      </c>
      <c r="AF40">
        <v>2153.8847413312928</v>
      </c>
      <c r="AG40">
        <v>3545.2508435930254</v>
      </c>
      <c r="AH40">
        <v>2745.5161025360703</v>
      </c>
    </row>
    <row r="41" spans="1:34" x14ac:dyDescent="0.25">
      <c r="A41" s="1">
        <v>0.625</v>
      </c>
      <c r="B41" s="1">
        <v>0.75</v>
      </c>
      <c r="C41">
        <v>0.74526639211608003</v>
      </c>
      <c r="D41">
        <f t="shared" si="0"/>
        <v>671.75</v>
      </c>
      <c r="E41">
        <f t="shared" si="1"/>
        <v>0.57489054090686298</v>
      </c>
      <c r="F41">
        <f t="shared" si="4"/>
        <v>1168.4833063009626</v>
      </c>
      <c r="G41">
        <v>10.532727233516599</v>
      </c>
      <c r="H41">
        <v>2606.3751000000002</v>
      </c>
      <c r="I41">
        <f t="shared" si="2"/>
        <v>0.61791728307254623</v>
      </c>
      <c r="J41">
        <v>641.47145</v>
      </c>
      <c r="K41">
        <v>0.62412000000000001</v>
      </c>
      <c r="L41">
        <f t="shared" si="5"/>
        <v>-0.20473190017754303</v>
      </c>
      <c r="M41">
        <v>0.91437000000000002</v>
      </c>
      <c r="N41">
        <f t="shared" si="3"/>
        <v>-3.8878031353139247E-2</v>
      </c>
      <c r="O41">
        <v>680.60519999999997</v>
      </c>
      <c r="P41">
        <v>-0.75377000000000005</v>
      </c>
      <c r="Q41">
        <v>2.6070700000000002</v>
      </c>
      <c r="R41">
        <v>0.96286000000000005</v>
      </c>
      <c r="S41">
        <v>13.257300000000001</v>
      </c>
      <c r="T41">
        <v>233.3740384442591</v>
      </c>
      <c r="U41">
        <v>269.31412999999998</v>
      </c>
      <c r="V41">
        <v>23.421209999999999</v>
      </c>
      <c r="W41">
        <v>18.659220000000001</v>
      </c>
      <c r="X41">
        <v>31.576090000000001</v>
      </c>
      <c r="Y41">
        <v>12.23232</v>
      </c>
      <c r="Z41">
        <v>19.343779999999999</v>
      </c>
      <c r="AA41">
        <v>26.497789999999998</v>
      </c>
      <c r="AB41">
        <v>0.18945000000000001</v>
      </c>
      <c r="AC41">
        <v>43.641150000000003</v>
      </c>
      <c r="AD41">
        <v>2.1339999999999999</v>
      </c>
      <c r="AE41">
        <v>2.9329999999999998</v>
      </c>
      <c r="AF41">
        <v>2183.766141870718</v>
      </c>
      <c r="AG41">
        <v>3528.0037315254699</v>
      </c>
      <c r="AH41">
        <v>2767.2626673246118</v>
      </c>
    </row>
    <row r="42" spans="1:34" x14ac:dyDescent="0.25">
      <c r="A42" s="1">
        <v>0.75</v>
      </c>
      <c r="B42" s="1">
        <v>0.75</v>
      </c>
      <c r="C42">
        <v>0.45536154238016802</v>
      </c>
      <c r="D42">
        <f t="shared" si="0"/>
        <v>661.1400000000001</v>
      </c>
      <c r="E42">
        <f t="shared" si="1"/>
        <v>0.56357807270881533</v>
      </c>
      <c r="F42">
        <f t="shared" si="4"/>
        <v>1173.1116450685479</v>
      </c>
      <c r="G42">
        <v>10.5466155524295</v>
      </c>
      <c r="H42">
        <v>2456.3037199999999</v>
      </c>
      <c r="I42">
        <f t="shared" si="2"/>
        <v>0.58233848269321953</v>
      </c>
      <c r="J42">
        <v>647.74284999999998</v>
      </c>
      <c r="K42">
        <v>0.42304999999999998</v>
      </c>
      <c r="L42">
        <f t="shared" si="5"/>
        <v>-0.37360830061356248</v>
      </c>
      <c r="M42">
        <v>1.28738</v>
      </c>
      <c r="N42">
        <f t="shared" si="3"/>
        <v>0.10970675789446725</v>
      </c>
      <c r="O42">
        <v>609.47680000000003</v>
      </c>
      <c r="P42">
        <v>-0.65737999999999996</v>
      </c>
      <c r="Q42">
        <v>2.5872899999999999</v>
      </c>
      <c r="R42">
        <v>0.98502000000000001</v>
      </c>
      <c r="S42">
        <v>11.11056</v>
      </c>
      <c r="T42">
        <v>235.15312740274248</v>
      </c>
      <c r="U42">
        <v>269.61374999999998</v>
      </c>
      <c r="V42">
        <v>22.444479999999999</v>
      </c>
      <c r="W42">
        <v>18.348320000000001</v>
      </c>
      <c r="X42">
        <v>30.384209999999999</v>
      </c>
      <c r="Y42">
        <v>11.90958</v>
      </c>
      <c r="Z42">
        <v>18.474620000000002</v>
      </c>
      <c r="AA42">
        <v>26.610679999999999</v>
      </c>
      <c r="AB42">
        <v>0.17877999999999999</v>
      </c>
      <c r="AC42">
        <v>43.257370000000002</v>
      </c>
      <c r="AD42">
        <v>2.1179999999999999</v>
      </c>
      <c r="AE42">
        <v>3.004</v>
      </c>
      <c r="AF42">
        <v>2205.7669261292099</v>
      </c>
      <c r="AG42">
        <v>3526.8672730842559</v>
      </c>
      <c r="AH42">
        <v>2785.7555229978229</v>
      </c>
    </row>
    <row r="43" spans="1:34" x14ac:dyDescent="0.25">
      <c r="A43" s="1">
        <v>0.875</v>
      </c>
      <c r="B43" s="1">
        <v>0.75</v>
      </c>
      <c r="C43">
        <v>0.47588771007133501</v>
      </c>
      <c r="D43">
        <f t="shared" si="0"/>
        <v>650.53</v>
      </c>
      <c r="E43">
        <f t="shared" si="1"/>
        <v>0.5516715102349804</v>
      </c>
      <c r="F43">
        <f t="shared" si="4"/>
        <v>1179.1981059941115</v>
      </c>
      <c r="G43">
        <v>10.564823784492701</v>
      </c>
      <c r="H43">
        <v>2250.1270500000001</v>
      </c>
      <c r="I43">
        <f t="shared" si="2"/>
        <v>0.53345828591749644</v>
      </c>
      <c r="J43">
        <v>665.73812999999996</v>
      </c>
      <c r="K43">
        <v>0.41889999999999999</v>
      </c>
      <c r="L43">
        <f t="shared" si="5"/>
        <v>-0.37788963963878053</v>
      </c>
      <c r="M43">
        <v>1.63561</v>
      </c>
      <c r="N43">
        <f t="shared" si="3"/>
        <v>0.21367975713513696</v>
      </c>
      <c r="O43">
        <v>654.58730000000003</v>
      </c>
      <c r="P43">
        <v>-0.61351999999999995</v>
      </c>
      <c r="Q43">
        <v>2.59592</v>
      </c>
      <c r="R43">
        <v>0.99241999999999997</v>
      </c>
      <c r="S43">
        <v>9.6479300000000006</v>
      </c>
      <c r="T43">
        <v>236.03976757331682</v>
      </c>
      <c r="U43">
        <v>268.41951999999998</v>
      </c>
      <c r="V43">
        <v>21.27928</v>
      </c>
      <c r="W43">
        <v>17.80254</v>
      </c>
      <c r="X43">
        <v>29.01342</v>
      </c>
      <c r="Y43">
        <v>11.60121</v>
      </c>
      <c r="Z43">
        <v>17.412210000000002</v>
      </c>
      <c r="AA43">
        <v>26.46951</v>
      </c>
      <c r="AB43">
        <v>0.16719999999999999</v>
      </c>
      <c r="AC43">
        <v>42.490600000000001</v>
      </c>
      <c r="AD43" s="3">
        <v>2.1</v>
      </c>
      <c r="AE43">
        <v>3.3809999999999998</v>
      </c>
      <c r="AF43">
        <v>2220.5338991308004</v>
      </c>
      <c r="AG43">
        <v>3512.6568339816836</v>
      </c>
      <c r="AH43">
        <v>2794.4491337786726</v>
      </c>
    </row>
    <row r="44" spans="1:34" x14ac:dyDescent="0.25">
      <c r="A44" s="1">
        <v>0.25</v>
      </c>
      <c r="B44" s="1">
        <v>0.875</v>
      </c>
      <c r="C44">
        <v>0.37221086367282502</v>
      </c>
      <c r="D44">
        <f t="shared" si="0"/>
        <v>691.68499999999995</v>
      </c>
      <c r="E44">
        <f t="shared" si="1"/>
        <v>0.60712203376077056</v>
      </c>
      <c r="F44">
        <f t="shared" si="4"/>
        <v>1139.2849567909941</v>
      </c>
      <c r="G44">
        <v>10.4442547016342</v>
      </c>
      <c r="H44">
        <v>3520.1047199999998</v>
      </c>
      <c r="I44">
        <f t="shared" si="2"/>
        <v>0.83454355618776666</v>
      </c>
      <c r="J44">
        <v>550.33307000000002</v>
      </c>
      <c r="K44">
        <v>1.2987899999999999</v>
      </c>
      <c r="L44">
        <f t="shared" si="5"/>
        <v>0.11353893612771021</v>
      </c>
      <c r="M44">
        <v>0.43767</v>
      </c>
      <c r="N44">
        <f t="shared" si="3"/>
        <v>-0.35885322099249772</v>
      </c>
      <c r="O44">
        <v>2443.2530000000002</v>
      </c>
      <c r="P44">
        <v>-1.54332</v>
      </c>
      <c r="Q44">
        <v>3.1896599999999999</v>
      </c>
      <c r="R44">
        <v>0.90180000000000005</v>
      </c>
      <c r="S44">
        <v>16.16263</v>
      </c>
      <c r="T44">
        <v>227.9933548386791</v>
      </c>
      <c r="U44">
        <v>271.94817</v>
      </c>
      <c r="V44">
        <v>28.965620000000001</v>
      </c>
      <c r="W44">
        <v>19.782779999999999</v>
      </c>
      <c r="X44">
        <v>36.809489999999997</v>
      </c>
      <c r="Y44">
        <v>11.76581</v>
      </c>
      <c r="Z44">
        <v>25.043679999999998</v>
      </c>
      <c r="AA44">
        <v>26.029730000000001</v>
      </c>
      <c r="AB44">
        <v>0.24295</v>
      </c>
      <c r="AC44">
        <v>44.674039999999998</v>
      </c>
      <c r="AD44">
        <v>2.1680000000000001</v>
      </c>
      <c r="AE44">
        <v>3.1440000000000001</v>
      </c>
      <c r="AF44">
        <v>2103.0356268583128</v>
      </c>
      <c r="AG44">
        <v>3609.100222507021</v>
      </c>
      <c r="AH44">
        <v>2714.0782188901949</v>
      </c>
    </row>
    <row r="45" spans="1:34" x14ac:dyDescent="0.25">
      <c r="A45" s="1">
        <v>0.375</v>
      </c>
      <c r="B45" s="1">
        <v>0.875</v>
      </c>
      <c r="C45">
        <v>0.44183497462274302</v>
      </c>
      <c r="D45">
        <f t="shared" si="0"/>
        <v>681.07499999999993</v>
      </c>
      <c r="E45">
        <f t="shared" si="1"/>
        <v>0.59532673081221144</v>
      </c>
      <c r="F45">
        <f t="shared" si="4"/>
        <v>1144.035644209695</v>
      </c>
      <c r="G45">
        <v>10.4587516841981</v>
      </c>
      <c r="H45">
        <v>4218.2910400000001</v>
      </c>
      <c r="I45">
        <f t="shared" si="2"/>
        <v>1.0000689995258416</v>
      </c>
      <c r="J45">
        <v>650.47640000000001</v>
      </c>
      <c r="K45">
        <v>1.1048800000000001</v>
      </c>
      <c r="L45">
        <f t="shared" si="5"/>
        <v>4.3315112258391637E-2</v>
      </c>
      <c r="M45">
        <v>-4.1939999999999998E-2</v>
      </c>
      <c r="N45">
        <v>0</v>
      </c>
      <c r="O45">
        <v>187.37889999999999</v>
      </c>
      <c r="P45">
        <v>-1.39168</v>
      </c>
      <c r="Q45">
        <v>3.1617099999999998</v>
      </c>
      <c r="R45">
        <v>0.93118000000000001</v>
      </c>
      <c r="S45">
        <v>17.564959999999999</v>
      </c>
      <c r="T45">
        <v>229.74014639988906</v>
      </c>
      <c r="U45">
        <v>271.88346000000001</v>
      </c>
      <c r="V45">
        <v>26.966190000000001</v>
      </c>
      <c r="W45">
        <v>19.29711</v>
      </c>
      <c r="X45">
        <v>35.245989999999999</v>
      </c>
      <c r="Y45">
        <v>12.419700000000001</v>
      </c>
      <c r="Z45">
        <v>22.82629</v>
      </c>
      <c r="AA45">
        <v>25.874289999999998</v>
      </c>
      <c r="AB45">
        <v>0.22689000000000001</v>
      </c>
      <c r="AC45">
        <v>44.188839999999999</v>
      </c>
      <c r="AD45">
        <v>2.169</v>
      </c>
      <c r="AE45">
        <v>3.1389999999999998</v>
      </c>
      <c r="AF45">
        <v>2125.9808696333498</v>
      </c>
      <c r="AG45">
        <v>3576.9253281556257</v>
      </c>
      <c r="AH45">
        <v>2727.9975428386397</v>
      </c>
    </row>
    <row r="46" spans="1:34" x14ac:dyDescent="0.25">
      <c r="A46" s="1">
        <v>0.5</v>
      </c>
      <c r="B46" s="1">
        <v>0.875</v>
      </c>
      <c r="C46">
        <v>0.44208132385534599</v>
      </c>
      <c r="D46">
        <f t="shared" si="0"/>
        <v>670.46500000000003</v>
      </c>
      <c r="E46">
        <f t="shared" si="1"/>
        <v>0.5839015811408782</v>
      </c>
      <c r="F46">
        <f t="shared" si="4"/>
        <v>1148.2500161927744</v>
      </c>
      <c r="G46">
        <v>10.471578515666801</v>
      </c>
      <c r="H46">
        <v>4061.0507400000001</v>
      </c>
      <c r="I46">
        <f t="shared" si="2"/>
        <v>0.96279059743954487</v>
      </c>
      <c r="J46">
        <v>847.09632999999997</v>
      </c>
      <c r="K46">
        <v>0.90169999999999995</v>
      </c>
      <c r="L46">
        <f t="shared" si="5"/>
        <v>-4.4937930324967873E-2</v>
      </c>
      <c r="M46">
        <v>0.91735</v>
      </c>
      <c r="N46">
        <f t="shared" si="3"/>
        <v>-3.7464934703123905E-2</v>
      </c>
      <c r="O46">
        <v>779.50760000000002</v>
      </c>
      <c r="P46">
        <v>-1.2989900000000001</v>
      </c>
      <c r="Q46">
        <v>3.2618299999999998</v>
      </c>
      <c r="R46">
        <v>0.93276000000000003</v>
      </c>
      <c r="S46">
        <v>15.37557</v>
      </c>
      <c r="T46">
        <v>230.37079780276883</v>
      </c>
      <c r="U46">
        <v>271.75153999999998</v>
      </c>
      <c r="V46">
        <v>25.62219</v>
      </c>
      <c r="W46">
        <v>18.92924</v>
      </c>
      <c r="X46">
        <v>33.796100000000003</v>
      </c>
      <c r="Y46">
        <v>12.260859999999999</v>
      </c>
      <c r="Z46">
        <v>21.535229999999999</v>
      </c>
      <c r="AA46">
        <v>25.64846</v>
      </c>
      <c r="AB46">
        <v>0.21743000000000001</v>
      </c>
      <c r="AC46">
        <v>43.440840000000001</v>
      </c>
      <c r="AD46">
        <v>2.1739999999999999</v>
      </c>
      <c r="AE46">
        <v>3.1739999999999999</v>
      </c>
      <c r="AF46">
        <v>2136.6853681995699</v>
      </c>
      <c r="AG46">
        <v>3555.8025615400134</v>
      </c>
      <c r="AH46">
        <v>2732.7699955586704</v>
      </c>
    </row>
    <row r="47" spans="1:34" x14ac:dyDescent="0.25">
      <c r="A47" s="1">
        <v>0.625</v>
      </c>
      <c r="B47" s="1">
        <v>0.875</v>
      </c>
      <c r="C47">
        <v>0.47760122350995099</v>
      </c>
      <c r="D47">
        <f t="shared" si="0"/>
        <v>659.85500000000002</v>
      </c>
      <c r="E47">
        <f t="shared" si="1"/>
        <v>0.57194170890205664</v>
      </c>
      <c r="F47">
        <f t="shared" si="4"/>
        <v>1153.7102290838493</v>
      </c>
      <c r="G47">
        <v>10.4881505907176</v>
      </c>
      <c r="H47">
        <v>3957.3902400000002</v>
      </c>
      <c r="I47">
        <f t="shared" si="2"/>
        <v>0.93821485064011378</v>
      </c>
      <c r="J47">
        <v>686.56710999999996</v>
      </c>
      <c r="K47">
        <v>1.0638099999999999</v>
      </c>
      <c r="L47">
        <f t="shared" si="5"/>
        <v>2.6864068447812719E-2</v>
      </c>
      <c r="M47">
        <v>0.30619000000000002</v>
      </c>
      <c r="N47">
        <f t="shared" si="3"/>
        <v>-0.51400899722932336</v>
      </c>
      <c r="O47">
        <v>659.92510000000004</v>
      </c>
      <c r="P47">
        <v>-1.2716400000000001</v>
      </c>
      <c r="Q47">
        <v>3.3439999999999999</v>
      </c>
      <c r="R47">
        <v>0.95381000000000005</v>
      </c>
      <c r="S47">
        <v>13.53608</v>
      </c>
      <c r="T47">
        <v>232.0036692262959</v>
      </c>
      <c r="U47">
        <v>270.61081999999999</v>
      </c>
      <c r="V47">
        <v>23.941610000000001</v>
      </c>
      <c r="W47">
        <v>18.567440000000001</v>
      </c>
      <c r="X47">
        <v>32.101320000000001</v>
      </c>
      <c r="Y47">
        <v>12.239560000000001</v>
      </c>
      <c r="Z47">
        <v>19.86176</v>
      </c>
      <c r="AA47">
        <v>25.657520000000002</v>
      </c>
      <c r="AB47">
        <v>0.20152</v>
      </c>
      <c r="AC47">
        <v>42.876150000000003</v>
      </c>
      <c r="AD47">
        <v>2.1739999999999999</v>
      </c>
      <c r="AE47">
        <v>3.2229999999999999</v>
      </c>
      <c r="AF47">
        <v>2158.978784854422</v>
      </c>
      <c r="AG47">
        <v>3531.2139729046189</v>
      </c>
      <c r="AH47">
        <v>2746.5859756859427</v>
      </c>
    </row>
    <row r="48" spans="1:34" x14ac:dyDescent="0.25">
      <c r="A48" s="1">
        <v>0.75</v>
      </c>
      <c r="B48" s="1">
        <v>0.875</v>
      </c>
      <c r="C48">
        <v>0.38216613243987102</v>
      </c>
      <c r="D48">
        <f t="shared" si="0"/>
        <v>649.245</v>
      </c>
      <c r="E48">
        <f t="shared" si="1"/>
        <v>0.56048179844997204</v>
      </c>
      <c r="F48">
        <f t="shared" si="4"/>
        <v>1158.3694631931046</v>
      </c>
      <c r="G48">
        <v>10.5022503512114</v>
      </c>
      <c r="H48">
        <v>3392.8171000000002</v>
      </c>
      <c r="I48">
        <f t="shared" si="2"/>
        <v>0.80436631104789003</v>
      </c>
      <c r="J48">
        <v>809.53303000000005</v>
      </c>
      <c r="K48">
        <v>1.0139</v>
      </c>
      <c r="L48">
        <f t="shared" si="5"/>
        <v>5.9951230546912851E-3</v>
      </c>
      <c r="M48">
        <v>0.45495999999999998</v>
      </c>
      <c r="N48">
        <f t="shared" si="3"/>
        <v>-0.34202678475588888</v>
      </c>
      <c r="O48">
        <v>582.34209999999996</v>
      </c>
      <c r="P48">
        <v>-1.2265600000000001</v>
      </c>
      <c r="Q48">
        <v>3.48034</v>
      </c>
      <c r="R48">
        <v>0.98306000000000004</v>
      </c>
      <c r="S48">
        <v>11.015700000000001</v>
      </c>
      <c r="T48">
        <v>233.51902279787922</v>
      </c>
      <c r="U48">
        <v>269.98901999999998</v>
      </c>
      <c r="V48">
        <v>22.850460000000002</v>
      </c>
      <c r="W48">
        <v>18.20195</v>
      </c>
      <c r="X48">
        <v>30.668869999999998</v>
      </c>
      <c r="Y48">
        <v>11.72762</v>
      </c>
      <c r="Z48">
        <v>18.94126</v>
      </c>
      <c r="AA48">
        <v>25.761690000000002</v>
      </c>
      <c r="AB48">
        <v>0.19076000000000001</v>
      </c>
      <c r="AC48">
        <v>42.397210000000001</v>
      </c>
      <c r="AD48">
        <v>2.2000000000000002</v>
      </c>
      <c r="AE48">
        <v>3.2970000000000002</v>
      </c>
      <c r="AF48">
        <v>2178.4978241647145</v>
      </c>
      <c r="AG48">
        <v>3524.109517510371</v>
      </c>
      <c r="AH48">
        <v>2761.7496900805281</v>
      </c>
    </row>
    <row r="49" spans="1:34" x14ac:dyDescent="0.25">
      <c r="A49" s="1">
        <v>0.875</v>
      </c>
      <c r="B49" s="1">
        <v>0.875</v>
      </c>
      <c r="C49">
        <v>0.27821845347277002</v>
      </c>
      <c r="D49">
        <f t="shared" si="0"/>
        <v>638.63499999999999</v>
      </c>
      <c r="E49">
        <f t="shared" si="1"/>
        <v>0.54861986219081027</v>
      </c>
      <c r="F49">
        <f t="shared" si="4"/>
        <v>1164.0756086550189</v>
      </c>
      <c r="G49">
        <v>10.519466860409</v>
      </c>
      <c r="H49">
        <v>3251.2958199999998</v>
      </c>
      <c r="I49">
        <f t="shared" si="2"/>
        <v>0.77081456140350868</v>
      </c>
      <c r="J49">
        <v>776.85114999999996</v>
      </c>
      <c r="K49">
        <v>0.75558999999999998</v>
      </c>
      <c r="L49">
        <f t="shared" si="5"/>
        <v>-0.12171379846534124</v>
      </c>
      <c r="M49">
        <v>1.2816799999999999</v>
      </c>
      <c r="N49">
        <f t="shared" si="3"/>
        <v>0.107779607412304</v>
      </c>
      <c r="O49">
        <v>634.51670000000001</v>
      </c>
      <c r="P49">
        <v>-1.2005699999999999</v>
      </c>
      <c r="Q49">
        <v>3.4944000000000002</v>
      </c>
      <c r="R49">
        <v>0.96831</v>
      </c>
      <c r="S49">
        <v>9.4344800000000006</v>
      </c>
      <c r="T49">
        <v>234.83818004964445</v>
      </c>
      <c r="U49">
        <v>269.08776</v>
      </c>
      <c r="V49">
        <v>21.443899999999999</v>
      </c>
      <c r="W49">
        <v>17.736149999999999</v>
      </c>
      <c r="X49">
        <v>29.361070000000002</v>
      </c>
      <c r="Y49">
        <v>11.87576</v>
      </c>
      <c r="Z49">
        <v>17.485309999999998</v>
      </c>
      <c r="AA49">
        <v>25.601659999999999</v>
      </c>
      <c r="AB49">
        <v>0.17582999999999999</v>
      </c>
      <c r="AC49">
        <v>41.70926</v>
      </c>
      <c r="AD49" s="3">
        <v>2.2000000000000002</v>
      </c>
      <c r="AE49" s="3">
        <v>3.3</v>
      </c>
      <c r="AF49">
        <v>2197.8114489559575</v>
      </c>
      <c r="AG49">
        <v>3504.3782021416878</v>
      </c>
      <c r="AH49">
        <v>2773.1637982157094</v>
      </c>
    </row>
  </sheetData>
  <conditionalFormatting sqref="H1: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3E7F-0FA8-4BB7-B4C3-7899B9D96747}">
  <dimension ref="C2:O50"/>
  <sheetViews>
    <sheetView workbookViewId="0">
      <selection activeCell="Q43" sqref="Q43"/>
    </sheetView>
  </sheetViews>
  <sheetFormatPr defaultRowHeight="15" x14ac:dyDescent="0.25"/>
  <sheetData>
    <row r="2" spans="3:15" x14ac:dyDescent="0.25">
      <c r="C2" t="s">
        <v>22</v>
      </c>
      <c r="D2" t="s">
        <v>21</v>
      </c>
      <c r="E2" t="s">
        <v>35</v>
      </c>
      <c r="H2" t="s">
        <v>22</v>
      </c>
      <c r="I2" t="s">
        <v>21</v>
      </c>
      <c r="J2" t="s">
        <v>35</v>
      </c>
      <c r="M2" t="s">
        <v>38</v>
      </c>
      <c r="N2" t="s">
        <v>39</v>
      </c>
      <c r="O2" t="s">
        <v>40</v>
      </c>
    </row>
    <row r="3" spans="3:15" x14ac:dyDescent="0.25">
      <c r="C3">
        <v>0</v>
      </c>
      <c r="D3">
        <v>0.15</v>
      </c>
      <c r="E3">
        <v>2.0859999999999999</v>
      </c>
      <c r="H3">
        <v>0</v>
      </c>
      <c r="I3">
        <v>0.15</v>
      </c>
      <c r="J3">
        <v>2.0859999999999999</v>
      </c>
      <c r="M3">
        <v>1</v>
      </c>
      <c r="N3">
        <v>0.85</v>
      </c>
      <c r="O3">
        <v>2.621</v>
      </c>
    </row>
    <row r="4" spans="3:15" x14ac:dyDescent="0.25">
      <c r="C4">
        <v>0</v>
      </c>
      <c r="D4">
        <v>0.32</v>
      </c>
      <c r="E4">
        <v>2.056</v>
      </c>
      <c r="H4">
        <v>0</v>
      </c>
      <c r="I4">
        <v>0.32</v>
      </c>
      <c r="J4">
        <v>2.056</v>
      </c>
      <c r="M4">
        <v>1</v>
      </c>
      <c r="N4">
        <v>0.68</v>
      </c>
      <c r="O4">
        <v>2.6440000000000001</v>
      </c>
    </row>
    <row r="5" spans="3:15" x14ac:dyDescent="0.25">
      <c r="C5">
        <v>0</v>
      </c>
      <c r="D5">
        <v>0.57499999999999996</v>
      </c>
      <c r="E5">
        <v>1.98</v>
      </c>
      <c r="H5">
        <v>0</v>
      </c>
      <c r="I5">
        <v>0.57499999999999996</v>
      </c>
      <c r="J5">
        <v>1.98</v>
      </c>
      <c r="M5">
        <v>1</v>
      </c>
      <c r="N5">
        <v>0.42499999999999999</v>
      </c>
      <c r="O5">
        <v>2.7240000000000002</v>
      </c>
    </row>
    <row r="6" spans="3:15" x14ac:dyDescent="0.25">
      <c r="C6">
        <v>0</v>
      </c>
      <c r="D6">
        <v>0.745</v>
      </c>
      <c r="E6">
        <v>1.9510000000000001</v>
      </c>
      <c r="H6">
        <v>0</v>
      </c>
      <c r="I6">
        <v>0.745</v>
      </c>
      <c r="J6">
        <v>1.9510000000000001</v>
      </c>
      <c r="M6">
        <v>1</v>
      </c>
      <c r="N6">
        <v>0.255</v>
      </c>
      <c r="O6">
        <v>2.766</v>
      </c>
    </row>
    <row r="7" spans="3:15" x14ac:dyDescent="0.25">
      <c r="C7">
        <v>0</v>
      </c>
      <c r="D7">
        <v>0.91500000000000004</v>
      </c>
      <c r="E7">
        <v>1.9370000000000001</v>
      </c>
      <c r="H7">
        <v>0</v>
      </c>
      <c r="I7">
        <v>0.91500000000000004</v>
      </c>
      <c r="J7">
        <v>1.9370000000000001</v>
      </c>
      <c r="M7">
        <v>1</v>
      </c>
      <c r="N7">
        <v>8.5000000000000006E-2</v>
      </c>
      <c r="O7">
        <v>2.9209999999999998</v>
      </c>
    </row>
    <row r="8" spans="3:15" x14ac:dyDescent="0.25">
      <c r="C8">
        <v>0</v>
      </c>
      <c r="D8">
        <v>1</v>
      </c>
      <c r="E8">
        <v>1.927</v>
      </c>
      <c r="H8">
        <v>0.1</v>
      </c>
      <c r="I8">
        <v>0.15</v>
      </c>
      <c r="J8">
        <v>2.085</v>
      </c>
      <c r="M8">
        <v>1</v>
      </c>
      <c r="N8">
        <v>0</v>
      </c>
      <c r="O8">
        <v>3.27</v>
      </c>
    </row>
    <row r="9" spans="3:15" x14ac:dyDescent="0.25">
      <c r="C9">
        <v>0.1</v>
      </c>
      <c r="D9">
        <v>0.15</v>
      </c>
      <c r="E9">
        <v>2.085</v>
      </c>
      <c r="H9">
        <v>0.1</v>
      </c>
      <c r="I9">
        <v>0.32</v>
      </c>
      <c r="J9">
        <v>2.0510000000000002</v>
      </c>
      <c r="M9">
        <v>0.9</v>
      </c>
      <c r="N9">
        <v>0.85</v>
      </c>
      <c r="O9">
        <v>2.6320000000000001</v>
      </c>
    </row>
    <row r="10" spans="3:15" x14ac:dyDescent="0.25">
      <c r="C10">
        <v>0.1</v>
      </c>
      <c r="D10">
        <v>0.32</v>
      </c>
      <c r="E10">
        <v>2.0510000000000002</v>
      </c>
      <c r="H10">
        <v>0.1</v>
      </c>
      <c r="I10">
        <v>0.57499999999999996</v>
      </c>
      <c r="J10">
        <v>2</v>
      </c>
      <c r="M10">
        <v>0.9</v>
      </c>
      <c r="N10">
        <v>0.68</v>
      </c>
      <c r="O10">
        <v>2.6429999999999998</v>
      </c>
    </row>
    <row r="11" spans="3:15" x14ac:dyDescent="0.25">
      <c r="C11">
        <v>0.1</v>
      </c>
      <c r="D11">
        <v>0.57499999999999996</v>
      </c>
      <c r="E11">
        <v>2</v>
      </c>
      <c r="H11">
        <v>0.1</v>
      </c>
      <c r="I11">
        <v>0.745</v>
      </c>
      <c r="J11">
        <v>1.964</v>
      </c>
      <c r="M11">
        <v>0.9</v>
      </c>
      <c r="N11">
        <v>0.42499999999999999</v>
      </c>
      <c r="O11">
        <v>2.72</v>
      </c>
    </row>
    <row r="12" spans="3:15" x14ac:dyDescent="0.25">
      <c r="C12">
        <v>0.1</v>
      </c>
      <c r="D12">
        <v>0.745</v>
      </c>
      <c r="E12">
        <v>1.964</v>
      </c>
      <c r="H12">
        <v>0.1</v>
      </c>
      <c r="I12">
        <v>0.91500000000000004</v>
      </c>
      <c r="J12">
        <v>1.9419999999999999</v>
      </c>
      <c r="M12">
        <v>0.9</v>
      </c>
      <c r="N12">
        <v>0.255</v>
      </c>
      <c r="O12">
        <v>2.7639999999999998</v>
      </c>
    </row>
    <row r="13" spans="3:15" x14ac:dyDescent="0.25">
      <c r="C13">
        <v>0.1</v>
      </c>
      <c r="D13">
        <v>0.91500000000000004</v>
      </c>
      <c r="E13">
        <v>1.9419999999999999</v>
      </c>
      <c r="H13">
        <v>0.25</v>
      </c>
      <c r="I13">
        <v>0.15</v>
      </c>
      <c r="J13">
        <v>2.0659999999999998</v>
      </c>
      <c r="M13">
        <v>0.9</v>
      </c>
      <c r="N13">
        <v>8.5000000000000006E-2</v>
      </c>
      <c r="O13">
        <v>2.915</v>
      </c>
    </row>
    <row r="14" spans="3:15" x14ac:dyDescent="0.25">
      <c r="C14">
        <v>0.1</v>
      </c>
      <c r="D14">
        <v>1</v>
      </c>
      <c r="E14">
        <v>1.9379999999999999</v>
      </c>
      <c r="H14">
        <v>0.25</v>
      </c>
      <c r="I14">
        <v>0.32</v>
      </c>
      <c r="J14">
        <v>2.0489999999999999</v>
      </c>
      <c r="M14">
        <v>0.9</v>
      </c>
      <c r="N14">
        <v>0</v>
      </c>
      <c r="O14">
        <v>3.2719999999999998</v>
      </c>
    </row>
    <row r="15" spans="3:15" x14ac:dyDescent="0.25">
      <c r="C15">
        <v>0.25</v>
      </c>
      <c r="D15">
        <v>0.15</v>
      </c>
      <c r="E15">
        <v>2.0659999999999998</v>
      </c>
      <c r="H15">
        <v>0.25</v>
      </c>
      <c r="I15">
        <v>0.57499999999999996</v>
      </c>
      <c r="J15">
        <v>2</v>
      </c>
      <c r="M15">
        <v>0.75</v>
      </c>
      <c r="N15">
        <v>0.85</v>
      </c>
      <c r="O15">
        <v>2.65</v>
      </c>
    </row>
    <row r="16" spans="3:15" x14ac:dyDescent="0.25">
      <c r="C16">
        <v>0.25</v>
      </c>
      <c r="D16">
        <v>0.32</v>
      </c>
      <c r="E16">
        <v>2.0489999999999999</v>
      </c>
      <c r="H16">
        <v>0.25</v>
      </c>
      <c r="I16">
        <v>0.745</v>
      </c>
      <c r="J16">
        <v>1.9730000000000001</v>
      </c>
      <c r="M16">
        <v>0.75</v>
      </c>
      <c r="N16">
        <v>0.68</v>
      </c>
      <c r="O16">
        <v>2.6509999999999998</v>
      </c>
    </row>
    <row r="17" spans="3:15" x14ac:dyDescent="0.25">
      <c r="C17">
        <v>0.25</v>
      </c>
      <c r="D17">
        <v>0.57499999999999996</v>
      </c>
      <c r="E17">
        <v>2</v>
      </c>
      <c r="H17">
        <v>0.25</v>
      </c>
      <c r="I17">
        <v>0.91500000000000004</v>
      </c>
      <c r="J17">
        <v>1.946</v>
      </c>
      <c r="M17">
        <v>0.75</v>
      </c>
      <c r="N17">
        <v>0.42499999999999999</v>
      </c>
      <c r="O17">
        <v>2.714</v>
      </c>
    </row>
    <row r="18" spans="3:15" x14ac:dyDescent="0.25">
      <c r="C18">
        <v>0.25</v>
      </c>
      <c r="D18">
        <v>0.745</v>
      </c>
      <c r="E18">
        <v>1.9730000000000001</v>
      </c>
      <c r="H18">
        <v>0.5</v>
      </c>
      <c r="I18">
        <v>0.15</v>
      </c>
      <c r="J18">
        <v>2.0449999999999999</v>
      </c>
      <c r="M18">
        <v>0.75</v>
      </c>
      <c r="N18">
        <v>0.255</v>
      </c>
      <c r="O18">
        <v>2.7610000000000001</v>
      </c>
    </row>
    <row r="19" spans="3:15" x14ac:dyDescent="0.25">
      <c r="C19">
        <v>0.25</v>
      </c>
      <c r="D19">
        <v>0.91500000000000004</v>
      </c>
      <c r="E19">
        <v>1.946</v>
      </c>
      <c r="H19">
        <v>0.5</v>
      </c>
      <c r="I19">
        <v>0.32</v>
      </c>
      <c r="J19">
        <v>2.0419999999999998</v>
      </c>
      <c r="M19">
        <v>0.75</v>
      </c>
      <c r="N19">
        <v>8.5000000000000006E-2</v>
      </c>
      <c r="O19">
        <v>2.9079999999999999</v>
      </c>
    </row>
    <row r="20" spans="3:15" x14ac:dyDescent="0.25">
      <c r="C20">
        <v>0.25</v>
      </c>
      <c r="D20">
        <v>1</v>
      </c>
      <c r="E20">
        <v>1.9510000000000001</v>
      </c>
      <c r="H20">
        <v>0.5</v>
      </c>
      <c r="I20">
        <v>0.57499999999999996</v>
      </c>
      <c r="J20">
        <v>2.0150000000000001</v>
      </c>
      <c r="M20">
        <v>0.75</v>
      </c>
      <c r="N20">
        <v>0</v>
      </c>
      <c r="O20">
        <v>3.266</v>
      </c>
    </row>
    <row r="21" spans="3:15" x14ac:dyDescent="0.25">
      <c r="C21">
        <v>0.5</v>
      </c>
      <c r="D21">
        <v>0.15</v>
      </c>
      <c r="E21">
        <v>2.0449999999999999</v>
      </c>
      <c r="H21">
        <v>0.5</v>
      </c>
      <c r="I21">
        <v>0.745</v>
      </c>
      <c r="J21">
        <v>1.9950000000000001</v>
      </c>
      <c r="M21">
        <v>0.5</v>
      </c>
      <c r="N21">
        <v>0.85</v>
      </c>
      <c r="O21">
        <v>2.6760000000000002</v>
      </c>
    </row>
    <row r="22" spans="3:15" x14ac:dyDescent="0.25">
      <c r="C22">
        <v>0.5</v>
      </c>
      <c r="D22">
        <v>0.32</v>
      </c>
      <c r="E22">
        <v>2.0419999999999998</v>
      </c>
      <c r="H22">
        <v>0.5</v>
      </c>
      <c r="I22">
        <v>0.91500000000000004</v>
      </c>
      <c r="J22">
        <v>1.9670000000000001</v>
      </c>
      <c r="M22">
        <v>0.5</v>
      </c>
      <c r="N22">
        <v>0.68</v>
      </c>
      <c r="O22">
        <v>2.694</v>
      </c>
    </row>
    <row r="23" spans="3:15" x14ac:dyDescent="0.25">
      <c r="C23">
        <v>0.5</v>
      </c>
      <c r="D23">
        <v>0.57499999999999996</v>
      </c>
      <c r="E23">
        <v>2.0150000000000001</v>
      </c>
      <c r="H23">
        <v>0.75</v>
      </c>
      <c r="I23">
        <v>0.15</v>
      </c>
      <c r="J23">
        <v>2.0739999999999998</v>
      </c>
      <c r="M23">
        <v>0.5</v>
      </c>
      <c r="N23">
        <v>0.42499999999999999</v>
      </c>
      <c r="O23">
        <v>2.722</v>
      </c>
    </row>
    <row r="24" spans="3:15" x14ac:dyDescent="0.25">
      <c r="C24">
        <v>0.5</v>
      </c>
      <c r="D24">
        <v>0.745</v>
      </c>
      <c r="E24">
        <v>1.9950000000000001</v>
      </c>
      <c r="H24">
        <v>0.75</v>
      </c>
      <c r="I24">
        <v>0.32</v>
      </c>
      <c r="J24">
        <v>2.0720000000000001</v>
      </c>
      <c r="M24">
        <v>0.5</v>
      </c>
      <c r="N24">
        <v>0.255</v>
      </c>
      <c r="O24">
        <v>2.7509999999999999</v>
      </c>
    </row>
    <row r="25" spans="3:15" x14ac:dyDescent="0.25">
      <c r="C25">
        <v>0.5</v>
      </c>
      <c r="D25">
        <v>0.91500000000000004</v>
      </c>
      <c r="E25">
        <v>1.9670000000000001</v>
      </c>
      <c r="H25">
        <v>0.75</v>
      </c>
      <c r="I25">
        <v>0.57499999999999996</v>
      </c>
      <c r="J25">
        <v>2.056</v>
      </c>
      <c r="M25">
        <v>0.5</v>
      </c>
      <c r="N25">
        <v>8.5000000000000006E-2</v>
      </c>
      <c r="O25">
        <v>2.9060000000000001</v>
      </c>
    </row>
    <row r="26" spans="3:15" x14ac:dyDescent="0.25">
      <c r="C26">
        <v>0.5</v>
      </c>
      <c r="D26">
        <v>1</v>
      </c>
      <c r="E26">
        <v>1.9810000000000001</v>
      </c>
      <c r="H26">
        <v>0.75</v>
      </c>
      <c r="I26">
        <v>0.745</v>
      </c>
      <c r="J26">
        <v>2.0419999999999998</v>
      </c>
      <c r="M26">
        <v>0.5</v>
      </c>
      <c r="N26">
        <v>0</v>
      </c>
      <c r="O26">
        <v>3.262</v>
      </c>
    </row>
    <row r="27" spans="3:15" x14ac:dyDescent="0.25">
      <c r="C27">
        <v>0.75</v>
      </c>
      <c r="D27">
        <v>0.15</v>
      </c>
      <c r="E27">
        <v>2.0739999999999998</v>
      </c>
      <c r="H27">
        <v>0.75</v>
      </c>
      <c r="I27">
        <v>0.91500000000000004</v>
      </c>
      <c r="J27">
        <v>2.0209999999999999</v>
      </c>
      <c r="M27">
        <v>0.25</v>
      </c>
      <c r="N27">
        <v>0.85</v>
      </c>
      <c r="O27">
        <v>2.7210000000000001</v>
      </c>
    </row>
    <row r="28" spans="3:15" x14ac:dyDescent="0.25">
      <c r="C28">
        <v>0.75</v>
      </c>
      <c r="D28">
        <v>0.32</v>
      </c>
      <c r="E28">
        <v>2.0720000000000001</v>
      </c>
      <c r="H28">
        <v>0.9</v>
      </c>
      <c r="I28">
        <v>0.15</v>
      </c>
      <c r="J28">
        <v>2.125</v>
      </c>
      <c r="M28">
        <v>0.25</v>
      </c>
      <c r="N28">
        <v>0.68</v>
      </c>
      <c r="O28">
        <v>2.7410000000000001</v>
      </c>
    </row>
    <row r="29" spans="3:15" x14ac:dyDescent="0.25">
      <c r="C29">
        <v>0.75</v>
      </c>
      <c r="D29">
        <v>0.57499999999999996</v>
      </c>
      <c r="E29">
        <v>2.056</v>
      </c>
      <c r="H29">
        <v>0.9</v>
      </c>
      <c r="I29">
        <v>0.32</v>
      </c>
      <c r="J29">
        <v>2.1259999999999999</v>
      </c>
      <c r="M29">
        <v>0.25</v>
      </c>
      <c r="N29">
        <v>0.42499999999999999</v>
      </c>
      <c r="O29">
        <v>2.758</v>
      </c>
    </row>
    <row r="30" spans="3:15" x14ac:dyDescent="0.25">
      <c r="C30">
        <v>0.75</v>
      </c>
      <c r="D30">
        <v>0.745</v>
      </c>
      <c r="E30">
        <v>2.0419999999999998</v>
      </c>
      <c r="H30">
        <v>0.9</v>
      </c>
      <c r="I30">
        <v>0.57499999999999996</v>
      </c>
      <c r="J30">
        <v>2.12</v>
      </c>
      <c r="M30">
        <v>0.25</v>
      </c>
      <c r="N30">
        <v>0.255</v>
      </c>
      <c r="O30">
        <v>2.7690000000000001</v>
      </c>
    </row>
    <row r="31" spans="3:15" x14ac:dyDescent="0.25">
      <c r="C31">
        <v>0.75</v>
      </c>
      <c r="D31">
        <v>0.91500000000000004</v>
      </c>
      <c r="E31">
        <v>2.0209999999999999</v>
      </c>
      <c r="H31">
        <v>0.9</v>
      </c>
      <c r="I31">
        <v>0.745</v>
      </c>
      <c r="J31">
        <v>2.1030000000000002</v>
      </c>
      <c r="M31">
        <v>0.25</v>
      </c>
      <c r="N31">
        <v>8.5000000000000006E-2</v>
      </c>
      <c r="O31">
        <v>2.8679999999999999</v>
      </c>
    </row>
    <row r="32" spans="3:15" x14ac:dyDescent="0.25">
      <c r="C32">
        <v>0.75</v>
      </c>
      <c r="D32">
        <v>1</v>
      </c>
      <c r="E32">
        <v>2.0179999999999998</v>
      </c>
      <c r="H32">
        <v>0.9</v>
      </c>
      <c r="I32">
        <v>0.91500000000000004</v>
      </c>
      <c r="J32">
        <v>2.0790000000000002</v>
      </c>
      <c r="M32">
        <v>0.25</v>
      </c>
      <c r="N32">
        <v>0</v>
      </c>
      <c r="O32">
        <v>3.2629999999999999</v>
      </c>
    </row>
    <row r="33" spans="3:15" x14ac:dyDescent="0.25">
      <c r="C33">
        <v>0.9</v>
      </c>
      <c r="D33">
        <v>0.15</v>
      </c>
      <c r="E33">
        <v>2.125</v>
      </c>
      <c r="H33">
        <v>0.95</v>
      </c>
      <c r="I33">
        <v>0.15</v>
      </c>
      <c r="J33">
        <v>2.15</v>
      </c>
      <c r="M33">
        <v>0.1</v>
      </c>
      <c r="N33">
        <v>0.85</v>
      </c>
      <c r="O33">
        <v>2.8420000000000001</v>
      </c>
    </row>
    <row r="34" spans="3:15" x14ac:dyDescent="0.25">
      <c r="C34">
        <v>0.9</v>
      </c>
      <c r="D34">
        <v>0.32</v>
      </c>
      <c r="E34">
        <v>2.1259999999999999</v>
      </c>
      <c r="H34">
        <v>0.95</v>
      </c>
      <c r="I34">
        <v>0.32</v>
      </c>
      <c r="J34">
        <v>2.1480000000000001</v>
      </c>
      <c r="M34">
        <v>0.1</v>
      </c>
      <c r="N34">
        <v>0.68</v>
      </c>
      <c r="O34">
        <v>2.8519999999999999</v>
      </c>
    </row>
    <row r="35" spans="3:15" x14ac:dyDescent="0.25">
      <c r="C35">
        <v>0.9</v>
      </c>
      <c r="D35">
        <v>0.57499999999999996</v>
      </c>
      <c r="E35">
        <v>2.12</v>
      </c>
      <c r="H35">
        <v>0.95</v>
      </c>
      <c r="I35">
        <v>0.57499999999999996</v>
      </c>
      <c r="J35">
        <v>2.1419999999999999</v>
      </c>
      <c r="M35">
        <v>0.1</v>
      </c>
      <c r="N35">
        <v>0.42499999999999999</v>
      </c>
      <c r="O35">
        <v>2.87</v>
      </c>
    </row>
    <row r="36" spans="3:15" x14ac:dyDescent="0.25">
      <c r="C36">
        <v>0.9</v>
      </c>
      <c r="D36">
        <v>0.745</v>
      </c>
      <c r="E36">
        <v>2.1030000000000002</v>
      </c>
      <c r="H36">
        <v>0.95</v>
      </c>
      <c r="I36">
        <v>0.745</v>
      </c>
      <c r="J36">
        <v>2.1339999999999999</v>
      </c>
      <c r="M36">
        <v>0.1</v>
      </c>
      <c r="N36">
        <v>0.255</v>
      </c>
      <c r="O36">
        <v>2.8839999999999999</v>
      </c>
    </row>
    <row r="37" spans="3:15" x14ac:dyDescent="0.25">
      <c r="C37">
        <v>0.9</v>
      </c>
      <c r="D37">
        <v>0.91500000000000004</v>
      </c>
      <c r="E37">
        <v>2.0790000000000002</v>
      </c>
      <c r="H37">
        <v>0.95</v>
      </c>
      <c r="I37">
        <v>0.91500000000000004</v>
      </c>
      <c r="J37">
        <v>2.1179999999999999</v>
      </c>
      <c r="M37">
        <v>0.1</v>
      </c>
      <c r="N37">
        <v>8.5000000000000006E-2</v>
      </c>
      <c r="O37">
        <v>2.9209999999999998</v>
      </c>
    </row>
    <row r="38" spans="3:15" x14ac:dyDescent="0.25">
      <c r="C38">
        <v>0.9</v>
      </c>
      <c r="D38">
        <v>1</v>
      </c>
      <c r="E38">
        <v>2.0619999999999998</v>
      </c>
      <c r="H38">
        <v>1</v>
      </c>
      <c r="I38">
        <v>0.15</v>
      </c>
      <c r="J38">
        <v>2.1680000000000001</v>
      </c>
      <c r="M38">
        <v>0.1</v>
      </c>
      <c r="N38">
        <v>0</v>
      </c>
      <c r="O38">
        <v>3.242</v>
      </c>
    </row>
    <row r="39" spans="3:15" x14ac:dyDescent="0.25">
      <c r="C39">
        <v>0.95</v>
      </c>
      <c r="D39">
        <v>0.15</v>
      </c>
      <c r="E39">
        <v>2.15</v>
      </c>
      <c r="H39">
        <v>1</v>
      </c>
      <c r="I39">
        <v>0.32</v>
      </c>
      <c r="J39">
        <v>2.169</v>
      </c>
      <c r="M39">
        <v>0.05</v>
      </c>
      <c r="N39">
        <v>0.85</v>
      </c>
      <c r="O39">
        <v>2.8889999999999998</v>
      </c>
    </row>
    <row r="40" spans="3:15" x14ac:dyDescent="0.25">
      <c r="C40">
        <v>0.95</v>
      </c>
      <c r="D40">
        <v>0.32</v>
      </c>
      <c r="E40">
        <v>2.1480000000000001</v>
      </c>
      <c r="H40">
        <v>1</v>
      </c>
      <c r="I40">
        <v>0.57499999999999996</v>
      </c>
      <c r="J40">
        <v>2.1739999999999999</v>
      </c>
      <c r="M40">
        <v>0.05</v>
      </c>
      <c r="N40">
        <v>0.68</v>
      </c>
      <c r="O40">
        <v>2.899</v>
      </c>
    </row>
    <row r="41" spans="3:15" x14ac:dyDescent="0.25">
      <c r="C41">
        <v>0.95</v>
      </c>
      <c r="D41">
        <v>0.57499999999999996</v>
      </c>
      <c r="E41">
        <v>2.1419999999999999</v>
      </c>
      <c r="H41">
        <v>1</v>
      </c>
      <c r="I41">
        <v>0.745</v>
      </c>
      <c r="J41">
        <v>2.1739999999999999</v>
      </c>
      <c r="M41">
        <v>0.05</v>
      </c>
      <c r="N41">
        <v>0.42499999999999999</v>
      </c>
      <c r="O41">
        <v>2.9089999999999998</v>
      </c>
    </row>
    <row r="42" spans="3:15" x14ac:dyDescent="0.25">
      <c r="C42">
        <v>0.95</v>
      </c>
      <c r="D42">
        <v>0.745</v>
      </c>
      <c r="E42">
        <v>2.1339999999999999</v>
      </c>
      <c r="H42">
        <v>1</v>
      </c>
      <c r="I42">
        <v>0.91500000000000004</v>
      </c>
      <c r="J42">
        <v>2.2000000000000002</v>
      </c>
      <c r="M42">
        <v>0.05</v>
      </c>
      <c r="N42">
        <v>0.255</v>
      </c>
      <c r="O42">
        <v>2.9329999999999998</v>
      </c>
    </row>
    <row r="43" spans="3:15" x14ac:dyDescent="0.25">
      <c r="C43">
        <v>0.95</v>
      </c>
      <c r="D43">
        <v>0.91500000000000004</v>
      </c>
      <c r="E43">
        <v>2.1179999999999999</v>
      </c>
      <c r="M43">
        <v>0.05</v>
      </c>
      <c r="N43">
        <v>8.5000000000000006E-2</v>
      </c>
      <c r="O43">
        <v>3.004</v>
      </c>
    </row>
    <row r="44" spans="3:15" x14ac:dyDescent="0.25">
      <c r="C44">
        <v>0.95</v>
      </c>
      <c r="D44">
        <v>1</v>
      </c>
      <c r="E44" t="s">
        <v>37</v>
      </c>
      <c r="M44">
        <v>0.05</v>
      </c>
      <c r="N44">
        <v>0</v>
      </c>
      <c r="O44">
        <v>3.3809999999999998</v>
      </c>
    </row>
    <row r="45" spans="3:15" x14ac:dyDescent="0.25">
      <c r="C45">
        <v>1</v>
      </c>
      <c r="D45">
        <v>0.15</v>
      </c>
      <c r="E45">
        <v>2.1680000000000001</v>
      </c>
      <c r="M45">
        <v>0</v>
      </c>
      <c r="N45">
        <v>0.85</v>
      </c>
      <c r="O45">
        <v>3.1440000000000001</v>
      </c>
    </row>
    <row r="46" spans="3:15" x14ac:dyDescent="0.25">
      <c r="C46">
        <v>1</v>
      </c>
      <c r="D46">
        <v>0.32</v>
      </c>
      <c r="E46">
        <v>2.169</v>
      </c>
      <c r="M46">
        <v>0</v>
      </c>
      <c r="N46">
        <v>0.68</v>
      </c>
      <c r="O46">
        <v>3.1389999999999998</v>
      </c>
    </row>
    <row r="47" spans="3:15" x14ac:dyDescent="0.25">
      <c r="C47">
        <v>1</v>
      </c>
      <c r="D47">
        <v>0.57499999999999996</v>
      </c>
      <c r="E47">
        <v>2.1739999999999999</v>
      </c>
      <c r="M47">
        <v>0</v>
      </c>
      <c r="N47">
        <v>0.42499999999999999</v>
      </c>
      <c r="O47">
        <v>3.1739999999999999</v>
      </c>
    </row>
    <row r="48" spans="3:15" x14ac:dyDescent="0.25">
      <c r="C48">
        <v>1</v>
      </c>
      <c r="D48">
        <v>0.745</v>
      </c>
      <c r="E48">
        <v>2.1739999999999999</v>
      </c>
      <c r="M48">
        <v>0</v>
      </c>
      <c r="N48">
        <v>0.255</v>
      </c>
      <c r="O48">
        <v>3.2229999999999999</v>
      </c>
    </row>
    <row r="49" spans="3:15" x14ac:dyDescent="0.25">
      <c r="C49">
        <v>1</v>
      </c>
      <c r="D49">
        <v>0.91500000000000004</v>
      </c>
      <c r="E49">
        <v>2.2000000000000002</v>
      </c>
      <c r="M49">
        <v>0</v>
      </c>
      <c r="N49">
        <v>8.5000000000000006E-2</v>
      </c>
      <c r="O49">
        <v>3.2970000000000002</v>
      </c>
    </row>
    <row r="50" spans="3:15" x14ac:dyDescent="0.25">
      <c r="C50">
        <v>1</v>
      </c>
      <c r="D50">
        <v>1</v>
      </c>
      <c r="E50" t="s">
        <v>37</v>
      </c>
      <c r="M50">
        <v>0</v>
      </c>
      <c r="N50">
        <v>0</v>
      </c>
      <c r="O50" t="s">
        <v>33</v>
      </c>
    </row>
  </sheetData>
  <sortState xmlns:xlrd2="http://schemas.microsoft.com/office/spreadsheetml/2017/richdata2" ref="M3:O50">
    <sortCondition descending="1" ref="M3:M50"/>
    <sortCondition descending="1" ref="N3:N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142A-6870-4FFC-8F1A-8457F492BB1F}">
  <dimension ref="A1:AJ80"/>
  <sheetViews>
    <sheetView zoomScale="80" zoomScaleNormal="70" workbookViewId="0">
      <selection sqref="A1:AC49"/>
    </sheetView>
  </sheetViews>
  <sheetFormatPr defaultRowHeight="15" x14ac:dyDescent="0.25"/>
  <cols>
    <col min="4" max="12" width="8.85546875" customWidth="1"/>
    <col min="19" max="19" width="10" bestFit="1" customWidth="1"/>
    <col min="23" max="23" width="17.5703125" customWidth="1"/>
    <col min="27" max="27" width="8.85546875" customWidth="1"/>
  </cols>
  <sheetData>
    <row r="1" spans="1:36" x14ac:dyDescent="0.25">
      <c r="A1" t="s">
        <v>21</v>
      </c>
      <c r="B1" t="s">
        <v>22</v>
      </c>
      <c r="C1" t="s">
        <v>10</v>
      </c>
      <c r="D1" t="s">
        <v>0</v>
      </c>
      <c r="E1" t="s">
        <v>1</v>
      </c>
      <c r="F1" t="s">
        <v>3</v>
      </c>
      <c r="G1" t="s">
        <v>2</v>
      </c>
      <c r="H1" t="s">
        <v>4</v>
      </c>
      <c r="I1" t="s">
        <v>5</v>
      </c>
      <c r="J1" t="s">
        <v>6</v>
      </c>
      <c r="K1" t="s">
        <v>7</v>
      </c>
      <c r="L1" t="s">
        <v>34</v>
      </c>
      <c r="M1" t="s">
        <v>13</v>
      </c>
      <c r="N1" t="s">
        <v>14</v>
      </c>
      <c r="O1" t="s">
        <v>30</v>
      </c>
      <c r="P1" t="s">
        <v>15</v>
      </c>
      <c r="Q1" t="s">
        <v>9</v>
      </c>
      <c r="R1" t="s">
        <v>20</v>
      </c>
      <c r="S1" t="s">
        <v>11</v>
      </c>
      <c r="T1" t="s">
        <v>12</v>
      </c>
      <c r="U1" t="s">
        <v>17</v>
      </c>
      <c r="V1" t="s">
        <v>18</v>
      </c>
      <c r="W1" t="s">
        <v>19</v>
      </c>
      <c r="X1" t="s">
        <v>16</v>
      </c>
      <c r="Y1" t="s">
        <v>25</v>
      </c>
      <c r="Z1" t="s">
        <v>26</v>
      </c>
      <c r="AA1" t="s">
        <v>31</v>
      </c>
      <c r="AB1" t="s">
        <v>32</v>
      </c>
      <c r="AC1" t="s">
        <v>8</v>
      </c>
    </row>
    <row r="2" spans="1:36" x14ac:dyDescent="0.25">
      <c r="A2" s="1">
        <v>0.25</v>
      </c>
      <c r="B2" s="1">
        <v>0</v>
      </c>
      <c r="C2">
        <v>8.6697785065942404E-2</v>
      </c>
      <c r="D2">
        <v>39.671338782074102</v>
      </c>
      <c r="E2">
        <v>27.663446386361599</v>
      </c>
      <c r="F2">
        <v>12.0078923957124</v>
      </c>
      <c r="G2">
        <v>24.015784791424799</v>
      </c>
      <c r="H2">
        <v>31.666077184932401</v>
      </c>
      <c r="I2">
        <v>16.811049353997301</v>
      </c>
      <c r="J2">
        <v>42.850287907125299</v>
      </c>
      <c r="K2">
        <v>0.27446797058317701</v>
      </c>
      <c r="L2">
        <v>129.59179378494699</v>
      </c>
      <c r="M2">
        <f t="shared" ref="M2:M49" si="0">2*132.81+A2*22.99+(1-A2)*107.87+B2*114.82+(1-B2)*209.98+6*35.45</f>
        <v>774.95</v>
      </c>
      <c r="N2">
        <f t="shared" ref="N2:N29" si="1">M2/(P2)^3</f>
        <v>0.63323003180555304</v>
      </c>
      <c r="O2">
        <f>P2^3</f>
        <v>1223.804875126272</v>
      </c>
      <c r="P2">
        <v>10.696394030851099</v>
      </c>
      <c r="Q2">
        <v>438.66712000000001</v>
      </c>
      <c r="R2">
        <f t="shared" ref="R2:R49" si="2">Q2/4218</f>
        <v>0.1039988430535799</v>
      </c>
      <c r="S2">
        <v>4.9999799999999999</v>
      </c>
      <c r="T2">
        <v>0</v>
      </c>
      <c r="U2">
        <v>0</v>
      </c>
      <c r="V2">
        <v>200.00004000000001</v>
      </c>
      <c r="W2">
        <f t="shared" ref="W2:W49" si="3">LOG10(V2)</f>
        <v>2.3010300825228689</v>
      </c>
      <c r="X2">
        <v>12.27623</v>
      </c>
      <c r="Y2">
        <v>-0.69306999999999996</v>
      </c>
      <c r="Z2">
        <v>1.78182</v>
      </c>
      <c r="AA2">
        <v>0.76765000000000005</v>
      </c>
      <c r="AB2">
        <v>0</v>
      </c>
      <c r="AC2">
        <v>263.62691000000001</v>
      </c>
    </row>
    <row r="3" spans="1:36" x14ac:dyDescent="0.25">
      <c r="A3" s="1">
        <v>0.375</v>
      </c>
      <c r="B3" s="1">
        <v>0</v>
      </c>
      <c r="C3">
        <v>0.18134772101577901</v>
      </c>
      <c r="D3">
        <v>34.633697505779502</v>
      </c>
      <c r="E3">
        <v>22.3137039612926</v>
      </c>
      <c r="F3">
        <v>12.319993544486801</v>
      </c>
      <c r="G3">
        <v>24.639987088973701</v>
      </c>
      <c r="H3">
        <v>26.420368476121599</v>
      </c>
      <c r="I3">
        <v>17.247990962281602</v>
      </c>
      <c r="J3">
        <v>42.496351573592698</v>
      </c>
      <c r="K3">
        <v>0.23192178342755701</v>
      </c>
      <c r="L3">
        <v>131.28714118524201</v>
      </c>
      <c r="M3">
        <f t="shared" si="0"/>
        <v>764.34</v>
      </c>
      <c r="N3">
        <f t="shared" si="1"/>
        <v>0.6211548602609509</v>
      </c>
      <c r="O3">
        <f t="shared" ref="O3:O49" si="4">P3^3</f>
        <v>1230.5143997084658</v>
      </c>
      <c r="P3">
        <v>10.715906117673001</v>
      </c>
      <c r="Q3">
        <v>439.71226000000001</v>
      </c>
      <c r="R3">
        <f t="shared" si="2"/>
        <v>0.10424662399241347</v>
      </c>
      <c r="S3">
        <v>17.188960000000002</v>
      </c>
      <c r="T3">
        <v>0.24585000000000001</v>
      </c>
      <c r="U3">
        <f t="shared" ref="U3:U49" si="5">LOG10(T3)</f>
        <v>-0.60932978737381971</v>
      </c>
      <c r="V3">
        <v>69.549809999999994</v>
      </c>
      <c r="W3">
        <f t="shared" si="3"/>
        <v>1.8422959479001102</v>
      </c>
      <c r="X3">
        <v>288.03050000000002</v>
      </c>
      <c r="Y3">
        <v>-0.53591</v>
      </c>
      <c r="Z3">
        <v>1.69099</v>
      </c>
      <c r="AA3">
        <v>0.82708000000000004</v>
      </c>
      <c r="AB3">
        <v>13.9434</v>
      </c>
      <c r="AC3">
        <v>264.69308000000001</v>
      </c>
      <c r="AH3">
        <v>0.75</v>
      </c>
      <c r="AI3">
        <v>1</v>
      </c>
      <c r="AJ3">
        <v>263.62691000000001</v>
      </c>
    </row>
    <row r="4" spans="1:36" x14ac:dyDescent="0.25">
      <c r="A4" s="1">
        <v>0.5</v>
      </c>
      <c r="B4" s="1">
        <v>0</v>
      </c>
      <c r="C4">
        <v>0.19245671465106401</v>
      </c>
      <c r="D4">
        <v>33.8235728355803</v>
      </c>
      <c r="E4">
        <v>21.203834015043601</v>
      </c>
      <c r="F4">
        <v>12.6197388205366</v>
      </c>
      <c r="G4">
        <v>25.2394776410733</v>
      </c>
      <c r="H4">
        <v>25.410413621889202</v>
      </c>
      <c r="I4">
        <v>17.667634348751299</v>
      </c>
      <c r="J4">
        <v>43.03009018449</v>
      </c>
      <c r="K4">
        <v>0.21776603859619401</v>
      </c>
      <c r="L4">
        <v>134.37711227397</v>
      </c>
      <c r="M4">
        <f t="shared" si="0"/>
        <v>753.73</v>
      </c>
      <c r="N4">
        <f t="shared" si="1"/>
        <v>0.61051317093818724</v>
      </c>
      <c r="O4">
        <f t="shared" si="4"/>
        <v>1234.5843396658072</v>
      </c>
      <c r="P4">
        <v>10.727707442132701</v>
      </c>
      <c r="Q4">
        <v>464.94135</v>
      </c>
      <c r="R4">
        <f t="shared" si="2"/>
        <v>0.1102279160739687</v>
      </c>
      <c r="S4">
        <v>40.396000000000001</v>
      </c>
      <c r="T4">
        <v>0.25674999999999998</v>
      </c>
      <c r="U4">
        <f t="shared" si="5"/>
        <v>-0.59048954773068418</v>
      </c>
      <c r="V4">
        <v>17.829740000000001</v>
      </c>
      <c r="W4">
        <f t="shared" si="3"/>
        <v>1.2511450101754338</v>
      </c>
      <c r="X4">
        <v>158.14230000000001</v>
      </c>
      <c r="Y4">
        <v>-0.26489000000000001</v>
      </c>
      <c r="Z4">
        <v>1.3596600000000001</v>
      </c>
      <c r="AA4">
        <v>0.89032999999999995</v>
      </c>
      <c r="AB4">
        <v>22.999379999999999</v>
      </c>
      <c r="AC4">
        <v>266.15197999999998</v>
      </c>
      <c r="AH4">
        <v>0.625</v>
      </c>
      <c r="AI4">
        <v>1</v>
      </c>
      <c r="AJ4">
        <v>264.69308000000001</v>
      </c>
    </row>
    <row r="5" spans="1:36" x14ac:dyDescent="0.25">
      <c r="A5" s="1">
        <v>0.625</v>
      </c>
      <c r="B5" s="1">
        <v>0</v>
      </c>
      <c r="C5">
        <v>0.17653602385223599</v>
      </c>
      <c r="D5">
        <v>29.306860493636201</v>
      </c>
      <c r="E5">
        <v>16.966625025606699</v>
      </c>
      <c r="F5">
        <v>12.3402354680294</v>
      </c>
      <c r="G5">
        <v>24.680470936058899</v>
      </c>
      <c r="H5">
        <v>21.0800368482832</v>
      </c>
      <c r="I5">
        <v>17.276329655241199</v>
      </c>
      <c r="J5">
        <v>40.708096178554896</v>
      </c>
      <c r="K5">
        <v>0.17814654474959399</v>
      </c>
      <c r="L5">
        <v>133.438582019216</v>
      </c>
      <c r="M5">
        <f t="shared" si="0"/>
        <v>743.12</v>
      </c>
      <c r="N5">
        <f t="shared" si="1"/>
        <v>0.59835490134078806</v>
      </c>
      <c r="O5">
        <f t="shared" si="4"/>
        <v>1241.9385189873497</v>
      </c>
      <c r="P5">
        <v>10.748966243445199</v>
      </c>
      <c r="Q5">
        <v>454.97147999999999</v>
      </c>
      <c r="R5">
        <f t="shared" si="2"/>
        <v>0.10786426742532006</v>
      </c>
      <c r="S5">
        <v>87.079310000000007</v>
      </c>
      <c r="T5">
        <v>0.23063</v>
      </c>
      <c r="U5">
        <f t="shared" si="5"/>
        <v>-0.63708420100040541</v>
      </c>
      <c r="V5">
        <v>11.32648</v>
      </c>
      <c r="W5">
        <f t="shared" si="3"/>
        <v>1.0540949624586284</v>
      </c>
      <c r="X5">
        <v>0</v>
      </c>
      <c r="Y5">
        <v>-0.14834</v>
      </c>
      <c r="Z5">
        <v>1.45211</v>
      </c>
      <c r="AA5">
        <v>0.95372000000000001</v>
      </c>
      <c r="AB5">
        <v>21.7788</v>
      </c>
      <c r="AC5">
        <v>265.69191000000001</v>
      </c>
      <c r="AH5">
        <v>0.5</v>
      </c>
      <c r="AI5">
        <v>1</v>
      </c>
      <c r="AJ5">
        <v>266.15197999999998</v>
      </c>
    </row>
    <row r="6" spans="1:36" x14ac:dyDescent="0.25">
      <c r="A6" s="1">
        <v>0.75</v>
      </c>
      <c r="B6" s="1">
        <v>0</v>
      </c>
      <c r="C6">
        <v>0.13151122951717001</v>
      </c>
      <c r="D6">
        <v>27.563707456932001</v>
      </c>
      <c r="E6">
        <v>15.4739886379992</v>
      </c>
      <c r="F6">
        <v>12.0897188189328</v>
      </c>
      <c r="G6">
        <v>24.1794376378656</v>
      </c>
      <c r="H6">
        <v>19.503894910976801</v>
      </c>
      <c r="I6">
        <v>16.925606346505901</v>
      </c>
      <c r="J6">
        <v>39.384198250872799</v>
      </c>
      <c r="K6">
        <v>0.163450143072812</v>
      </c>
      <c r="L6">
        <v>133.787262282679</v>
      </c>
      <c r="M6">
        <f t="shared" si="0"/>
        <v>732.5100000000001</v>
      </c>
      <c r="N6">
        <f t="shared" si="1"/>
        <v>0.58739129581957183</v>
      </c>
      <c r="O6">
        <f t="shared" si="4"/>
        <v>1247.056272732043</v>
      </c>
      <c r="P6">
        <v>10.7637107126223</v>
      </c>
      <c r="Q6">
        <v>472.74164999999999</v>
      </c>
      <c r="R6">
        <f t="shared" si="2"/>
        <v>0.11207720483641537</v>
      </c>
      <c r="S6">
        <v>131.37917999999999</v>
      </c>
      <c r="T6">
        <v>0.31389</v>
      </c>
      <c r="U6">
        <f t="shared" si="5"/>
        <v>-0.50322251996098877</v>
      </c>
      <c r="V6">
        <v>7.4848400000000002</v>
      </c>
      <c r="W6">
        <f t="shared" si="3"/>
        <v>0.87418252106386796</v>
      </c>
      <c r="X6">
        <v>157.9169</v>
      </c>
      <c r="Y6">
        <v>-0.11409</v>
      </c>
      <c r="Z6">
        <v>1.6106499999999999</v>
      </c>
      <c r="AA6">
        <v>1.01624</v>
      </c>
      <c r="AB6">
        <v>21.209620000000001</v>
      </c>
      <c r="AC6">
        <v>265.79718000000003</v>
      </c>
      <c r="AH6">
        <v>0.375</v>
      </c>
      <c r="AI6">
        <v>1</v>
      </c>
      <c r="AJ6">
        <v>265.69191000000001</v>
      </c>
    </row>
    <row r="7" spans="1:36" x14ac:dyDescent="0.25">
      <c r="A7" s="1">
        <v>0.875</v>
      </c>
      <c r="B7" s="1">
        <v>0</v>
      </c>
      <c r="C7">
        <v>0.15748059661002101</v>
      </c>
      <c r="D7">
        <v>26.804385817077499</v>
      </c>
      <c r="E7">
        <v>14.261640642637699</v>
      </c>
      <c r="F7">
        <v>12.5427451744397</v>
      </c>
      <c r="G7">
        <v>25.0854903488795</v>
      </c>
      <c r="H7">
        <v>18.4425557007843</v>
      </c>
      <c r="I7">
        <v>17.5598432442156</v>
      </c>
      <c r="J7">
        <v>39.988133361913</v>
      </c>
      <c r="K7">
        <v>0.138624440029819</v>
      </c>
      <c r="L7">
        <v>137.800925568015</v>
      </c>
      <c r="M7">
        <f t="shared" si="0"/>
        <v>721.9</v>
      </c>
      <c r="N7">
        <f t="shared" si="1"/>
        <v>0.57488498252145992</v>
      </c>
      <c r="O7">
        <f t="shared" si="4"/>
        <v>1255.729444929538</v>
      </c>
      <c r="P7">
        <v>10.788606654718301</v>
      </c>
      <c r="Q7">
        <v>679.46221000000003</v>
      </c>
      <c r="R7">
        <f t="shared" si="2"/>
        <v>0.16108634660976767</v>
      </c>
      <c r="S7">
        <v>122.58736</v>
      </c>
      <c r="T7">
        <v>0.23522000000000001</v>
      </c>
      <c r="U7">
        <f t="shared" si="5"/>
        <v>-0.6285257543630719</v>
      </c>
      <c r="V7">
        <v>7.2149799999999997</v>
      </c>
      <c r="W7">
        <f t="shared" si="3"/>
        <v>0.85823513156233677</v>
      </c>
      <c r="X7">
        <v>509.42750000000001</v>
      </c>
      <c r="Y7">
        <v>-5.6980000000000003E-2</v>
      </c>
      <c r="Z7">
        <v>1.7457800000000001</v>
      </c>
      <c r="AA7">
        <v>1.1136699999999999</v>
      </c>
      <c r="AB7">
        <v>21.119910000000001</v>
      </c>
      <c r="AC7">
        <v>263.67417999999998</v>
      </c>
      <c r="AH7">
        <v>0.25</v>
      </c>
      <c r="AI7">
        <v>1</v>
      </c>
      <c r="AJ7">
        <v>265.79718000000003</v>
      </c>
    </row>
    <row r="8" spans="1:36" x14ac:dyDescent="0.25">
      <c r="A8" s="1">
        <v>0.25</v>
      </c>
      <c r="B8" s="1">
        <v>0.125</v>
      </c>
      <c r="C8">
        <v>0.38029358229856702</v>
      </c>
      <c r="D8">
        <v>38.254622948290397</v>
      </c>
      <c r="E8">
        <v>25.598365819293999</v>
      </c>
      <c r="F8">
        <v>12.6562571289963</v>
      </c>
      <c r="G8">
        <v>25.3125142579926</v>
      </c>
      <c r="H8">
        <v>29.817118195626101</v>
      </c>
      <c r="I8">
        <v>17.7187599805948</v>
      </c>
      <c r="J8">
        <v>44.367791009482403</v>
      </c>
      <c r="K8">
        <v>0.25200045200885801</v>
      </c>
      <c r="L8">
        <v>133.91511413212601</v>
      </c>
      <c r="M8">
        <f t="shared" si="0"/>
        <v>763.05500000000006</v>
      </c>
      <c r="N8">
        <f t="shared" si="1"/>
        <v>0.62995794260904636</v>
      </c>
      <c r="O8">
        <f t="shared" si="4"/>
        <v>1211.2792749936866</v>
      </c>
      <c r="P8">
        <v>10.6597764121894</v>
      </c>
      <c r="Q8">
        <v>478.92822000000001</v>
      </c>
      <c r="R8">
        <f t="shared" si="2"/>
        <v>0.11354391180654339</v>
      </c>
      <c r="S8">
        <v>8.1926600000000001</v>
      </c>
      <c r="T8">
        <v>0.23701</v>
      </c>
      <c r="U8">
        <f t="shared" si="5"/>
        <v>-0.62523332971479784</v>
      </c>
      <c r="V8">
        <v>124.82344000000001</v>
      </c>
      <c r="W8">
        <f t="shared" si="3"/>
        <v>2.0962961470994661</v>
      </c>
      <c r="X8">
        <v>29.7666</v>
      </c>
      <c r="Y8">
        <v>-0.71408000000000005</v>
      </c>
      <c r="Z8">
        <v>1.7987299999999999</v>
      </c>
      <c r="AA8">
        <v>0.77986999999999995</v>
      </c>
      <c r="AB8">
        <v>0</v>
      </c>
      <c r="AC8">
        <v>265.50069999999999</v>
      </c>
      <c r="AH8">
        <v>0.125</v>
      </c>
      <c r="AI8">
        <v>1</v>
      </c>
      <c r="AJ8">
        <v>263.67417999999998</v>
      </c>
    </row>
    <row r="9" spans="1:36" x14ac:dyDescent="0.25">
      <c r="A9" s="1">
        <v>0.375</v>
      </c>
      <c r="B9" s="1">
        <v>0.125</v>
      </c>
      <c r="C9">
        <v>0.42341373243122998</v>
      </c>
      <c r="D9">
        <v>35.697076077493797</v>
      </c>
      <c r="E9">
        <v>23.394713453941701</v>
      </c>
      <c r="F9">
        <v>12.302362623552</v>
      </c>
      <c r="G9">
        <v>24.604725247104099</v>
      </c>
      <c r="H9">
        <v>27.495500995125699</v>
      </c>
      <c r="I9">
        <v>17.223307672972901</v>
      </c>
      <c r="J9">
        <v>42.744753311767802</v>
      </c>
      <c r="K9">
        <v>0.24089849996825899</v>
      </c>
      <c r="L9">
        <v>133.687122302039</v>
      </c>
      <c r="M9">
        <f t="shared" si="0"/>
        <v>752.44500000000005</v>
      </c>
      <c r="N9">
        <f t="shared" si="1"/>
        <v>0.61794432558592316</v>
      </c>
      <c r="O9">
        <f t="shared" si="4"/>
        <v>1217.6582401441196</v>
      </c>
      <c r="P9">
        <v>10.6784562011273</v>
      </c>
      <c r="Q9">
        <v>486.65356000000003</v>
      </c>
      <c r="R9">
        <f t="shared" si="2"/>
        <v>0.11537542911332385</v>
      </c>
      <c r="S9">
        <v>24.10887</v>
      </c>
      <c r="T9">
        <v>0.17574999999999999</v>
      </c>
      <c r="U9">
        <f t="shared" si="5"/>
        <v>-0.75510466630813844</v>
      </c>
      <c r="V9">
        <v>46.750340000000001</v>
      </c>
      <c r="W9">
        <f t="shared" si="3"/>
        <v>1.6697847737023741</v>
      </c>
      <c r="X9">
        <v>2439.0149999999999</v>
      </c>
      <c r="Y9">
        <v>-0.58794999999999997</v>
      </c>
      <c r="Z9">
        <v>1.7449399999999999</v>
      </c>
      <c r="AA9">
        <v>0.83147000000000004</v>
      </c>
      <c r="AB9">
        <v>15.216379999999999</v>
      </c>
      <c r="AC9">
        <v>265.25038000000001</v>
      </c>
    </row>
    <row r="10" spans="1:36" x14ac:dyDescent="0.25">
      <c r="A10" s="1">
        <v>0.5</v>
      </c>
      <c r="B10" s="1">
        <v>0.125</v>
      </c>
      <c r="C10">
        <v>0.38836224441411399</v>
      </c>
      <c r="D10">
        <v>36.0973760388774</v>
      </c>
      <c r="E10">
        <v>24.202978727816902</v>
      </c>
      <c r="F10">
        <v>11.8943973110605</v>
      </c>
      <c r="G10">
        <v>23.788794622121099</v>
      </c>
      <c r="H10">
        <v>28.167777831503699</v>
      </c>
      <c r="I10">
        <v>16.6521562354847</v>
      </c>
      <c r="J10">
        <v>41.732664698451998</v>
      </c>
      <c r="K10">
        <v>0.25307089689448298</v>
      </c>
      <c r="L10">
        <v>134.273911644207</v>
      </c>
      <c r="M10">
        <f t="shared" si="0"/>
        <v>741.83500000000004</v>
      </c>
      <c r="N10">
        <f t="shared" si="1"/>
        <v>0.60712589706164799</v>
      </c>
      <c r="O10">
        <f t="shared" si="4"/>
        <v>1221.8800146564554</v>
      </c>
      <c r="P10">
        <v>10.690783150010301</v>
      </c>
      <c r="Q10">
        <v>479.94529</v>
      </c>
      <c r="R10">
        <f t="shared" si="2"/>
        <v>0.11378503793266952</v>
      </c>
      <c r="S10">
        <v>52.012869999999999</v>
      </c>
      <c r="T10">
        <v>0.22539000000000001</v>
      </c>
      <c r="U10">
        <f t="shared" si="5"/>
        <v>-0.64706535644057994</v>
      </c>
      <c r="V10">
        <v>11.75773</v>
      </c>
      <c r="W10">
        <f t="shared" si="3"/>
        <v>1.0703234829957355</v>
      </c>
      <c r="X10">
        <v>2496.4940000000001</v>
      </c>
      <c r="Y10">
        <v>-0.31811</v>
      </c>
      <c r="Z10">
        <v>1.5529900000000001</v>
      </c>
      <c r="AA10">
        <v>0.88327999999999995</v>
      </c>
      <c r="AB10">
        <v>13.980180000000001</v>
      </c>
      <c r="AC10">
        <v>265.81450000000001</v>
      </c>
      <c r="AH10" t="s">
        <v>33</v>
      </c>
      <c r="AI10" t="s">
        <v>33</v>
      </c>
      <c r="AJ10" t="s">
        <v>33</v>
      </c>
    </row>
    <row r="11" spans="1:36" x14ac:dyDescent="0.25">
      <c r="A11" s="1">
        <v>0.625</v>
      </c>
      <c r="B11" s="1">
        <v>0.125</v>
      </c>
      <c r="C11">
        <v>0.41285170253375603</v>
      </c>
      <c r="D11">
        <v>32.197479007678297</v>
      </c>
      <c r="E11">
        <v>20.0070108968509</v>
      </c>
      <c r="F11">
        <v>12.1904681108274</v>
      </c>
      <c r="G11">
        <v>24.380936221654899</v>
      </c>
      <c r="H11">
        <v>24.0705002671267</v>
      </c>
      <c r="I11">
        <v>17.066655355158399</v>
      </c>
      <c r="J11">
        <v>41.412441180853499</v>
      </c>
      <c r="K11">
        <v>0.21325591684654399</v>
      </c>
      <c r="L11">
        <v>136.424010678261</v>
      </c>
      <c r="M11">
        <f t="shared" si="0"/>
        <v>731.22500000000002</v>
      </c>
      <c r="N11">
        <f t="shared" si="1"/>
        <v>0.59476542139841371</v>
      </c>
      <c r="O11">
        <f t="shared" si="4"/>
        <v>1229.4342839917329</v>
      </c>
      <c r="P11">
        <v>10.7127698122782</v>
      </c>
      <c r="Q11">
        <v>473.16743000000002</v>
      </c>
      <c r="R11">
        <f t="shared" si="2"/>
        <v>0.11217814841156946</v>
      </c>
      <c r="S11">
        <v>108.75859</v>
      </c>
      <c r="T11">
        <v>0.21554000000000001</v>
      </c>
      <c r="U11">
        <f t="shared" si="5"/>
        <v>-0.66647212147890844</v>
      </c>
      <c r="V11">
        <v>9.1038899999999998</v>
      </c>
      <c r="W11">
        <f t="shared" si="3"/>
        <v>0.95922700161232954</v>
      </c>
      <c r="X11">
        <v>2867.9670000000001</v>
      </c>
      <c r="Y11">
        <v>-0.21282999999999999</v>
      </c>
      <c r="Z11">
        <v>1.5505899999999999</v>
      </c>
      <c r="AA11">
        <v>0.94018000000000002</v>
      </c>
      <c r="AB11">
        <v>13.33807</v>
      </c>
      <c r="AC11">
        <v>265.79593999999997</v>
      </c>
    </row>
    <row r="12" spans="1:36" x14ac:dyDescent="0.25">
      <c r="A12" s="1">
        <v>0.75</v>
      </c>
      <c r="B12" s="1">
        <v>0.125</v>
      </c>
      <c r="C12">
        <v>0.33328332374010999</v>
      </c>
      <c r="D12">
        <v>30.3770383407239</v>
      </c>
      <c r="E12">
        <v>17.873606366438398</v>
      </c>
      <c r="F12">
        <v>12.503431974285499</v>
      </c>
      <c r="G12">
        <v>25.006863948570999</v>
      </c>
      <c r="H12">
        <v>22.041417024533501</v>
      </c>
      <c r="I12">
        <v>17.504804763999701</v>
      </c>
      <c r="J12">
        <v>41.522366608687499</v>
      </c>
      <c r="K12">
        <v>0.18602769835177099</v>
      </c>
      <c r="L12">
        <v>139.42424871186901</v>
      </c>
      <c r="M12">
        <f t="shared" si="0"/>
        <v>720.61500000000012</v>
      </c>
      <c r="N12">
        <f t="shared" si="1"/>
        <v>0.58370640008759822</v>
      </c>
      <c r="O12">
        <f t="shared" si="4"/>
        <v>1234.5504518913201</v>
      </c>
      <c r="P12">
        <v>10.727609287246301</v>
      </c>
      <c r="Q12">
        <v>521.36203999999998</v>
      </c>
      <c r="R12">
        <f t="shared" si="2"/>
        <v>0.12360408724513987</v>
      </c>
      <c r="S12">
        <v>164.06939</v>
      </c>
      <c r="T12">
        <v>0.27509</v>
      </c>
      <c r="U12">
        <f t="shared" si="5"/>
        <v>-0.56052519668321676</v>
      </c>
      <c r="V12">
        <v>6.41852</v>
      </c>
      <c r="W12">
        <f t="shared" si="3"/>
        <v>0.80743489879599872</v>
      </c>
      <c r="X12">
        <v>2943.3670000000002</v>
      </c>
      <c r="Y12">
        <v>-0.17951</v>
      </c>
      <c r="Z12">
        <v>1.6923999999999999</v>
      </c>
      <c r="AA12">
        <v>1.0119899999999999</v>
      </c>
      <c r="AB12">
        <v>12.97198</v>
      </c>
      <c r="AC12">
        <v>266.06186000000002</v>
      </c>
    </row>
    <row r="13" spans="1:36" x14ac:dyDescent="0.25">
      <c r="A13" s="1">
        <v>0.875</v>
      </c>
      <c r="B13" s="1">
        <v>0.125</v>
      </c>
      <c r="C13">
        <v>0.28131734534235298</v>
      </c>
      <c r="D13">
        <v>28.478661802770901</v>
      </c>
      <c r="E13">
        <v>15.978445690087</v>
      </c>
      <c r="F13">
        <v>12.5002161126839</v>
      </c>
      <c r="G13">
        <v>25.000432225367799</v>
      </c>
      <c r="H13">
        <v>20.145184394314999</v>
      </c>
      <c r="I13">
        <v>17.500302557757401</v>
      </c>
      <c r="J13">
        <v>40.711959440048403</v>
      </c>
      <c r="K13">
        <v>0.16317873093004601</v>
      </c>
      <c r="L13">
        <v>141.07439107210899</v>
      </c>
      <c r="M13">
        <f t="shared" si="0"/>
        <v>710.005</v>
      </c>
      <c r="N13">
        <f t="shared" si="1"/>
        <v>0.57163866208430114</v>
      </c>
      <c r="O13">
        <f t="shared" si="4"/>
        <v>1242.0520988051951</v>
      </c>
      <c r="P13">
        <v>10.7492939108763</v>
      </c>
      <c r="Q13">
        <v>775.91102999999998</v>
      </c>
      <c r="R13">
        <f t="shared" si="2"/>
        <v>0.18395235419630157</v>
      </c>
      <c r="S13">
        <v>267.79055</v>
      </c>
      <c r="T13">
        <v>0.27218999999999999</v>
      </c>
      <c r="U13">
        <f t="shared" si="5"/>
        <v>-0.56512783440305836</v>
      </c>
      <c r="V13">
        <v>3.6878199999999999</v>
      </c>
      <c r="W13">
        <f t="shared" si="3"/>
        <v>0.56676971527896225</v>
      </c>
      <c r="X13">
        <v>3053.0520000000001</v>
      </c>
      <c r="Y13">
        <v>-8.9679999999999996E-2</v>
      </c>
      <c r="Z13">
        <v>1.8265800000000001</v>
      </c>
      <c r="AA13">
        <v>1.1037399999999999</v>
      </c>
      <c r="AB13">
        <v>12.91985</v>
      </c>
      <c r="AC13">
        <v>264.32542000000001</v>
      </c>
      <c r="AH13">
        <v>0.75</v>
      </c>
      <c r="AI13">
        <v>0.875</v>
      </c>
      <c r="AJ13">
        <v>265.50069999999999</v>
      </c>
    </row>
    <row r="14" spans="1:36" x14ac:dyDescent="0.25">
      <c r="A14" s="1">
        <v>0.25</v>
      </c>
      <c r="B14" s="1">
        <v>0.25</v>
      </c>
      <c r="C14">
        <v>0.41441778779538901</v>
      </c>
      <c r="D14">
        <v>36.6411645289283</v>
      </c>
      <c r="E14">
        <v>24.239603706971099</v>
      </c>
      <c r="F14">
        <v>12.401560821957201</v>
      </c>
      <c r="G14">
        <v>24.803121643914501</v>
      </c>
      <c r="H14">
        <v>28.3734573142901</v>
      </c>
      <c r="I14">
        <v>17.3621851507401</v>
      </c>
      <c r="J14">
        <v>43.262259442513198</v>
      </c>
      <c r="K14">
        <v>0.24587599622127301</v>
      </c>
      <c r="L14">
        <v>134.38492718103399</v>
      </c>
      <c r="M14">
        <f t="shared" si="0"/>
        <v>751.16</v>
      </c>
      <c r="N14">
        <f t="shared" si="1"/>
        <v>0.62571910479470327</v>
      </c>
      <c r="O14">
        <f t="shared" si="4"/>
        <v>1200.4747725362381</v>
      </c>
      <c r="P14">
        <v>10.6279869545533</v>
      </c>
      <c r="Q14">
        <v>478.04536999999999</v>
      </c>
      <c r="R14">
        <f t="shared" si="2"/>
        <v>0.11333460644855381</v>
      </c>
      <c r="S14">
        <v>21.1172</v>
      </c>
      <c r="T14">
        <v>0.22652</v>
      </c>
      <c r="U14">
        <f t="shared" si="5"/>
        <v>-0.64489344704550844</v>
      </c>
      <c r="V14">
        <v>46.839849999999998</v>
      </c>
      <c r="W14">
        <f t="shared" si="3"/>
        <v>1.6706154956173069</v>
      </c>
      <c r="X14">
        <v>0</v>
      </c>
      <c r="Y14">
        <v>-0.77717000000000003</v>
      </c>
      <c r="Z14">
        <v>1.78111</v>
      </c>
      <c r="AA14">
        <v>0.79091999999999996</v>
      </c>
      <c r="AB14">
        <v>20.763590000000001</v>
      </c>
      <c r="AC14">
        <v>267.40091000000001</v>
      </c>
      <c r="AH14">
        <v>0.625</v>
      </c>
      <c r="AI14">
        <v>0.875</v>
      </c>
      <c r="AJ14">
        <v>265.25038000000001</v>
      </c>
    </row>
    <row r="15" spans="1:36" x14ac:dyDescent="0.25">
      <c r="A15" s="1">
        <v>0.375</v>
      </c>
      <c r="B15" s="1">
        <v>0.25</v>
      </c>
      <c r="C15">
        <v>0.59642907683082202</v>
      </c>
      <c r="D15">
        <v>34.958943768513002</v>
      </c>
      <c r="E15">
        <v>22.6284079849238</v>
      </c>
      <c r="F15">
        <v>12.330535783589101</v>
      </c>
      <c r="G15">
        <v>24.661071567178301</v>
      </c>
      <c r="H15">
        <v>26.7385865794535</v>
      </c>
      <c r="I15">
        <v>17.262750097024799</v>
      </c>
      <c r="J15">
        <v>42.616919869151502</v>
      </c>
      <c r="K15">
        <v>0.23436067919723699</v>
      </c>
      <c r="L15">
        <v>135.74333710199801</v>
      </c>
      <c r="M15">
        <f t="shared" si="0"/>
        <v>740.55</v>
      </c>
      <c r="N15">
        <f t="shared" si="1"/>
        <v>0.6137421774933991</v>
      </c>
      <c r="O15">
        <f t="shared" si="4"/>
        <v>1206.6141568182588</v>
      </c>
      <c r="P15">
        <v>10.6460737930196</v>
      </c>
      <c r="Q15">
        <v>531.10009000000002</v>
      </c>
      <c r="R15">
        <f t="shared" si="2"/>
        <v>0.12591277619724989</v>
      </c>
      <c r="S15">
        <v>28.857030000000002</v>
      </c>
      <c r="T15">
        <v>0.29133999999999999</v>
      </c>
      <c r="U15">
        <f t="shared" si="5"/>
        <v>-0.53559988411013504</v>
      </c>
      <c r="V15">
        <v>31.78959</v>
      </c>
      <c r="W15">
        <f t="shared" si="3"/>
        <v>1.5022849267230198</v>
      </c>
      <c r="X15">
        <v>1765.501</v>
      </c>
      <c r="Y15">
        <v>-0.63109000000000004</v>
      </c>
      <c r="Z15">
        <v>1.8231200000000001</v>
      </c>
      <c r="AA15">
        <v>0.83543999999999996</v>
      </c>
      <c r="AB15">
        <v>15.47363</v>
      </c>
      <c r="AC15">
        <v>266.60660999999999</v>
      </c>
      <c r="AH15">
        <v>0.5</v>
      </c>
      <c r="AI15">
        <v>0.875</v>
      </c>
      <c r="AJ15">
        <v>265.81450000000001</v>
      </c>
    </row>
    <row r="16" spans="1:36" x14ac:dyDescent="0.25">
      <c r="A16" s="1">
        <v>0.5</v>
      </c>
      <c r="B16" s="1">
        <v>0.25</v>
      </c>
      <c r="C16">
        <v>0.54803945189532099</v>
      </c>
      <c r="D16">
        <v>35.7320445580214</v>
      </c>
      <c r="E16">
        <v>23.323909812618101</v>
      </c>
      <c r="F16">
        <v>12.4081347454033</v>
      </c>
      <c r="G16">
        <v>24.816269490806601</v>
      </c>
      <c r="H16">
        <v>27.4599547277525</v>
      </c>
      <c r="I16">
        <v>17.3713886435646</v>
      </c>
      <c r="J16">
        <v>43.038636505625199</v>
      </c>
      <c r="K16">
        <v>0.23877939146704599</v>
      </c>
      <c r="L16">
        <v>138.77828586422299</v>
      </c>
      <c r="M16">
        <f t="shared" si="0"/>
        <v>729.94</v>
      </c>
      <c r="N16">
        <f t="shared" si="1"/>
        <v>0.60277355335818161</v>
      </c>
      <c r="O16">
        <f t="shared" si="4"/>
        <v>1210.9688554405659</v>
      </c>
      <c r="P16">
        <v>10.658865726049701</v>
      </c>
      <c r="Q16">
        <v>542.43541000000005</v>
      </c>
      <c r="R16">
        <f t="shared" si="2"/>
        <v>0.12860014461830252</v>
      </c>
      <c r="S16">
        <v>65.299769999999995</v>
      </c>
      <c r="T16">
        <v>0.29697000000000001</v>
      </c>
      <c r="U16">
        <f t="shared" si="5"/>
        <v>-0.52728742102798409</v>
      </c>
      <c r="V16">
        <v>13.983029999999999</v>
      </c>
      <c r="W16">
        <f t="shared" si="3"/>
        <v>1.1456012894137071</v>
      </c>
      <c r="X16">
        <v>1892.3810000000001</v>
      </c>
      <c r="Y16">
        <v>-0.43529000000000001</v>
      </c>
      <c r="Z16">
        <v>1.56399</v>
      </c>
      <c r="AA16">
        <v>0.88710999999999995</v>
      </c>
      <c r="AB16">
        <v>13.975059999999999</v>
      </c>
      <c r="AC16">
        <v>265.80846000000003</v>
      </c>
      <c r="AH16">
        <v>0.375</v>
      </c>
      <c r="AI16">
        <v>0.875</v>
      </c>
      <c r="AJ16">
        <v>265.79593999999997</v>
      </c>
    </row>
    <row r="17" spans="1:36" x14ac:dyDescent="0.25">
      <c r="A17" s="1">
        <v>0.625</v>
      </c>
      <c r="B17" s="1">
        <v>0.25</v>
      </c>
      <c r="C17">
        <v>0.63964203884814896</v>
      </c>
      <c r="D17">
        <v>33.419257059716003</v>
      </c>
      <c r="E17">
        <v>21.580642479042201</v>
      </c>
      <c r="F17">
        <v>11.8386145806738</v>
      </c>
      <c r="G17">
        <v>23.677229161347601</v>
      </c>
      <c r="H17">
        <v>25.526847339266801</v>
      </c>
      <c r="I17">
        <v>16.5740604129433</v>
      </c>
      <c r="J17">
        <v>40.875614196387097</v>
      </c>
      <c r="K17">
        <v>0.23312010388431301</v>
      </c>
      <c r="L17">
        <v>137.78919462889499</v>
      </c>
      <c r="M17">
        <f t="shared" si="0"/>
        <v>719.33</v>
      </c>
      <c r="N17">
        <f t="shared" si="1"/>
        <v>0.59048386881641735</v>
      </c>
      <c r="O17">
        <f t="shared" si="4"/>
        <v>1218.2043201990352</v>
      </c>
      <c r="P17">
        <v>10.6800522758054</v>
      </c>
      <c r="Q17">
        <v>540.85628999999994</v>
      </c>
      <c r="R17">
        <f t="shared" si="2"/>
        <v>0.12822576813655759</v>
      </c>
      <c r="S17">
        <v>146.61758</v>
      </c>
      <c r="T17">
        <v>0.28805999999999998</v>
      </c>
      <c r="U17">
        <f t="shared" si="5"/>
        <v>-0.54051704364719066</v>
      </c>
      <c r="V17">
        <v>6.5908100000000003</v>
      </c>
      <c r="W17">
        <f t="shared" si="3"/>
        <v>0.81893879197078479</v>
      </c>
      <c r="X17">
        <v>1974.864</v>
      </c>
      <c r="Y17">
        <v>-0.36274000000000001</v>
      </c>
      <c r="Z17">
        <v>1.73441</v>
      </c>
      <c r="AA17">
        <v>0.94610000000000005</v>
      </c>
      <c r="AB17">
        <v>13.27726</v>
      </c>
      <c r="AC17">
        <v>266.62635</v>
      </c>
      <c r="AH17">
        <v>0.25</v>
      </c>
      <c r="AI17">
        <v>0.875</v>
      </c>
      <c r="AJ17">
        <v>266.06186000000002</v>
      </c>
    </row>
    <row r="18" spans="1:36" x14ac:dyDescent="0.25">
      <c r="A18" s="1">
        <v>0.75</v>
      </c>
      <c r="B18" s="1">
        <v>0.25</v>
      </c>
      <c r="C18">
        <v>0.409446097026884</v>
      </c>
      <c r="D18">
        <v>34.2240133321787</v>
      </c>
      <c r="E18">
        <v>22.477124207196901</v>
      </c>
      <c r="F18">
        <v>11.7468891249818</v>
      </c>
      <c r="G18">
        <v>23.493778249963601</v>
      </c>
      <c r="H18">
        <v>26.3927539155241</v>
      </c>
      <c r="I18">
        <v>16.4456447749745</v>
      </c>
      <c r="J18">
        <v>40.851841781552999</v>
      </c>
      <c r="K18">
        <v>0.24202615162032401</v>
      </c>
      <c r="L18">
        <v>140.28174394300899</v>
      </c>
      <c r="M18">
        <f t="shared" si="0"/>
        <v>708.72</v>
      </c>
      <c r="N18">
        <f t="shared" si="1"/>
        <v>0.57962618143686184</v>
      </c>
      <c r="O18">
        <f t="shared" si="4"/>
        <v>1222.7190949917438</v>
      </c>
      <c r="P18">
        <v>10.693229755028099</v>
      </c>
      <c r="Q18">
        <v>580.14993000000004</v>
      </c>
      <c r="R18">
        <f t="shared" si="2"/>
        <v>0.13754147226173544</v>
      </c>
      <c r="S18">
        <v>336.70073000000002</v>
      </c>
      <c r="T18">
        <v>0.19295999999999999</v>
      </c>
      <c r="U18">
        <f t="shared" si="5"/>
        <v>-0.71453270953994275</v>
      </c>
      <c r="V18">
        <v>2.95363</v>
      </c>
      <c r="W18">
        <f t="shared" si="3"/>
        <v>0.47035609049434524</v>
      </c>
      <c r="X18">
        <v>2400.1779999999999</v>
      </c>
      <c r="Y18">
        <v>-0.21933</v>
      </c>
      <c r="Z18">
        <v>1.7330000000000001</v>
      </c>
      <c r="AA18">
        <v>1.01206</v>
      </c>
      <c r="AB18">
        <v>12.513820000000001</v>
      </c>
      <c r="AC18">
        <v>267.20353</v>
      </c>
      <c r="AH18">
        <v>0.125</v>
      </c>
      <c r="AI18">
        <v>0.875</v>
      </c>
      <c r="AJ18">
        <v>264.32542000000001</v>
      </c>
    </row>
    <row r="19" spans="1:36" x14ac:dyDescent="0.25">
      <c r="A19" s="1">
        <v>0.875</v>
      </c>
      <c r="B19" s="1">
        <v>0.25</v>
      </c>
      <c r="C19">
        <v>0.44813963608071999</v>
      </c>
      <c r="D19">
        <v>29.4792189947207</v>
      </c>
      <c r="E19">
        <v>17.119244587373199</v>
      </c>
      <c r="F19">
        <v>12.3599744073474</v>
      </c>
      <c r="G19">
        <v>24.719948814694899</v>
      </c>
      <c r="H19">
        <v>21.239236056488998</v>
      </c>
      <c r="I19">
        <v>17.303964170286399</v>
      </c>
      <c r="J19">
        <v>40.8249635191588</v>
      </c>
      <c r="K19">
        <v>0.17964193399283501</v>
      </c>
      <c r="L19">
        <v>143.733423383966</v>
      </c>
      <c r="M19">
        <f t="shared" si="0"/>
        <v>698.11</v>
      </c>
      <c r="N19">
        <f t="shared" si="1"/>
        <v>0.56677698923881337</v>
      </c>
      <c r="O19">
        <f t="shared" si="4"/>
        <v>1231.7190239807867</v>
      </c>
      <c r="P19">
        <v>10.7194017913941</v>
      </c>
      <c r="Q19">
        <v>912.42534000000001</v>
      </c>
      <c r="R19">
        <f t="shared" si="2"/>
        <v>0.21631705547652916</v>
      </c>
      <c r="S19">
        <v>471.85120999999998</v>
      </c>
      <c r="T19">
        <v>0.27290999999999999</v>
      </c>
      <c r="U19">
        <f t="shared" si="5"/>
        <v>-0.56398055056956586</v>
      </c>
      <c r="V19">
        <v>2.0098699999999998</v>
      </c>
      <c r="W19">
        <f t="shared" si="3"/>
        <v>0.30316796781427413</v>
      </c>
      <c r="X19">
        <v>2277.9769999999999</v>
      </c>
      <c r="Y19">
        <v>-0.20591000000000001</v>
      </c>
      <c r="Z19">
        <v>1.8416300000000001</v>
      </c>
      <c r="AA19">
        <v>1.0773600000000001</v>
      </c>
      <c r="AB19">
        <v>12.618320000000001</v>
      </c>
      <c r="AC19">
        <v>265.25101999999998</v>
      </c>
    </row>
    <row r="20" spans="1:36" x14ac:dyDescent="0.25">
      <c r="A20" s="1">
        <v>0.25</v>
      </c>
      <c r="B20" s="1">
        <v>0.375</v>
      </c>
      <c r="C20">
        <v>0.70267003558982599</v>
      </c>
      <c r="D20">
        <v>34.947007506010699</v>
      </c>
      <c r="E20">
        <v>22.340363610182202</v>
      </c>
      <c r="F20">
        <v>12.606643895828499</v>
      </c>
      <c r="G20">
        <v>25.213287791656999</v>
      </c>
      <c r="H20">
        <v>26.542578242125</v>
      </c>
      <c r="I20">
        <v>17.6493014541599</v>
      </c>
      <c r="J20">
        <v>43.341387119035801</v>
      </c>
      <c r="K20">
        <v>0.22784993025376199</v>
      </c>
      <c r="L20">
        <v>136.83101431444399</v>
      </c>
      <c r="M20">
        <f t="shared" si="0"/>
        <v>739.26499999999999</v>
      </c>
      <c r="N20">
        <f t="shared" si="1"/>
        <v>0.62229759857594713</v>
      </c>
      <c r="O20">
        <f t="shared" si="4"/>
        <v>1187.9605540688549</v>
      </c>
      <c r="P20">
        <v>10.5909277842453</v>
      </c>
      <c r="Q20">
        <v>569.42272000000003</v>
      </c>
      <c r="R20">
        <f t="shared" si="2"/>
        <v>0.13499827406353723</v>
      </c>
      <c r="S20">
        <v>38.14273</v>
      </c>
      <c r="T20">
        <v>0.29971999999999999</v>
      </c>
      <c r="U20">
        <f t="shared" si="5"/>
        <v>-0.52328427607393657</v>
      </c>
      <c r="V20">
        <v>19.39723</v>
      </c>
      <c r="W20">
        <f t="shared" si="3"/>
        <v>1.2877397154144004</v>
      </c>
      <c r="X20">
        <v>60</v>
      </c>
      <c r="Y20">
        <v>-0.79498999999999997</v>
      </c>
      <c r="Z20">
        <v>1.8776200000000001</v>
      </c>
      <c r="AA20">
        <v>0.81862000000000001</v>
      </c>
      <c r="AB20">
        <v>21.139949999999999</v>
      </c>
      <c r="AC20">
        <v>267.13387999999998</v>
      </c>
      <c r="AH20" t="s">
        <v>33</v>
      </c>
      <c r="AI20" t="s">
        <v>33</v>
      </c>
      <c r="AJ20" t="s">
        <v>33</v>
      </c>
    </row>
    <row r="21" spans="1:36" x14ac:dyDescent="0.25">
      <c r="A21" s="1">
        <v>0.375</v>
      </c>
      <c r="B21" s="1">
        <v>0.375</v>
      </c>
      <c r="C21">
        <v>0.75926150177311402</v>
      </c>
      <c r="D21">
        <v>32.567540245693799</v>
      </c>
      <c r="E21">
        <v>20.5993859752007</v>
      </c>
      <c r="F21">
        <v>11.968154270493001</v>
      </c>
      <c r="G21">
        <v>23.936308540986101</v>
      </c>
      <c r="H21">
        <v>24.588770732031701</v>
      </c>
      <c r="I21">
        <v>16.755415978690301</v>
      </c>
      <c r="J21">
        <v>40.962052017157198</v>
      </c>
      <c r="K21">
        <v>0.22235258346474801</v>
      </c>
      <c r="L21">
        <v>135.43341185391</v>
      </c>
      <c r="M21">
        <f t="shared" si="0"/>
        <v>728.65499999999997</v>
      </c>
      <c r="N21">
        <f t="shared" si="1"/>
        <v>0.61048298813827651</v>
      </c>
      <c r="O21">
        <f t="shared" si="4"/>
        <v>1193.5713429494567</v>
      </c>
      <c r="P21">
        <v>10.6075754052913</v>
      </c>
      <c r="Q21">
        <v>616.86513000000002</v>
      </c>
      <c r="R21">
        <f t="shared" si="2"/>
        <v>0.14624588193456614</v>
      </c>
      <c r="S21">
        <v>58.185839999999999</v>
      </c>
      <c r="T21">
        <v>0.32362999999999997</v>
      </c>
      <c r="U21">
        <f t="shared" si="5"/>
        <v>-0.48995122676754643</v>
      </c>
      <c r="V21">
        <v>14.318199999999999</v>
      </c>
      <c r="W21">
        <f t="shared" si="3"/>
        <v>1.1558884244521004</v>
      </c>
      <c r="X21">
        <v>1146.434</v>
      </c>
      <c r="Y21">
        <v>-0.65325999999999995</v>
      </c>
      <c r="Z21">
        <v>1.8661300000000001</v>
      </c>
      <c r="AA21">
        <v>0.85085</v>
      </c>
      <c r="AB21">
        <v>16.161159999999999</v>
      </c>
      <c r="AC21">
        <v>266.36261000000002</v>
      </c>
    </row>
    <row r="22" spans="1:36" x14ac:dyDescent="0.25">
      <c r="A22" s="1">
        <v>0.5</v>
      </c>
      <c r="B22" s="1">
        <v>0.375</v>
      </c>
      <c r="C22">
        <v>0.70128645208941698</v>
      </c>
      <c r="D22">
        <v>33.727979018616203</v>
      </c>
      <c r="E22">
        <v>21.385818246609599</v>
      </c>
      <c r="F22">
        <v>12.342160772006499</v>
      </c>
      <c r="G22">
        <v>24.684321544013098</v>
      </c>
      <c r="H22">
        <v>25.499871837278398</v>
      </c>
      <c r="I22">
        <v>17.279025080809198</v>
      </c>
      <c r="J22">
        <v>42.285922468520198</v>
      </c>
      <c r="K22">
        <v>0.22362003269167899</v>
      </c>
      <c r="L22">
        <v>140.10394023356901</v>
      </c>
      <c r="M22">
        <f t="shared" si="0"/>
        <v>718.04500000000007</v>
      </c>
      <c r="N22">
        <f t="shared" si="1"/>
        <v>0.59929089846237038</v>
      </c>
      <c r="O22">
        <f t="shared" si="4"/>
        <v>1198.1576924367162</v>
      </c>
      <c r="P22">
        <v>10.6211447288979</v>
      </c>
      <c r="Q22">
        <v>684.74566000000004</v>
      </c>
      <c r="R22">
        <f t="shared" si="2"/>
        <v>0.16233894262683737</v>
      </c>
      <c r="S22">
        <v>111.56149000000001</v>
      </c>
      <c r="T22">
        <v>0.35904000000000003</v>
      </c>
      <c r="U22">
        <f t="shared" si="5"/>
        <v>-0.44485716475995141</v>
      </c>
      <c r="V22">
        <v>10.693479999999999</v>
      </c>
      <c r="W22">
        <f t="shared" si="3"/>
        <v>1.0291190615090964</v>
      </c>
      <c r="X22">
        <v>1377.3140000000001</v>
      </c>
      <c r="Y22">
        <v>-0.50853999999999999</v>
      </c>
      <c r="Z22">
        <v>1.70069</v>
      </c>
      <c r="AA22">
        <v>0.89444999999999997</v>
      </c>
      <c r="AB22">
        <v>13.98766</v>
      </c>
      <c r="AC22">
        <v>265.68894</v>
      </c>
    </row>
    <row r="23" spans="1:36" x14ac:dyDescent="0.25">
      <c r="A23" s="1">
        <v>0.625</v>
      </c>
      <c r="B23" s="1">
        <v>0.375</v>
      </c>
      <c r="C23">
        <v>0.81978209342977304</v>
      </c>
      <c r="D23">
        <v>32.267649824692498</v>
      </c>
      <c r="E23">
        <v>20.673411760889898</v>
      </c>
      <c r="F23">
        <v>11.594238063802599</v>
      </c>
      <c r="G23">
        <v>23.188476127605298</v>
      </c>
      <c r="H23">
        <v>24.538157782157398</v>
      </c>
      <c r="I23">
        <v>16.231933289323699</v>
      </c>
      <c r="J23">
        <v>39.898264111964103</v>
      </c>
      <c r="K23">
        <v>0.22900530087215401</v>
      </c>
      <c r="L23">
        <v>138.657858500272</v>
      </c>
      <c r="M23">
        <f t="shared" si="0"/>
        <v>707.43500000000006</v>
      </c>
      <c r="N23">
        <f t="shared" si="1"/>
        <v>0.58715693769348387</v>
      </c>
      <c r="O23">
        <f t="shared" si="4"/>
        <v>1204.8482349182518</v>
      </c>
      <c r="P23">
        <v>10.640877623841201</v>
      </c>
      <c r="Q23">
        <v>676.72874000000002</v>
      </c>
      <c r="R23">
        <f t="shared" si="2"/>
        <v>0.16043829777145566</v>
      </c>
      <c r="S23">
        <v>198.73838000000001</v>
      </c>
      <c r="T23">
        <v>0.36259000000000002</v>
      </c>
      <c r="U23">
        <f t="shared" si="5"/>
        <v>-0.44058417763903823</v>
      </c>
      <c r="V23">
        <v>4.7279</v>
      </c>
      <c r="W23">
        <f t="shared" si="3"/>
        <v>0.67466828219056862</v>
      </c>
      <c r="X23">
        <v>1381.182</v>
      </c>
      <c r="Y23">
        <v>-0.44227</v>
      </c>
      <c r="Z23">
        <v>1.86395</v>
      </c>
      <c r="AA23">
        <v>0.94918000000000002</v>
      </c>
      <c r="AB23">
        <v>13.3322</v>
      </c>
      <c r="AC23">
        <v>266.48090000000002</v>
      </c>
      <c r="AH23">
        <v>0.75</v>
      </c>
      <c r="AI23">
        <v>0.75</v>
      </c>
      <c r="AJ23">
        <v>267.40091000000001</v>
      </c>
    </row>
    <row r="24" spans="1:36" x14ac:dyDescent="0.25">
      <c r="A24" s="1">
        <v>0.75</v>
      </c>
      <c r="B24" s="1">
        <v>0.375</v>
      </c>
      <c r="C24">
        <v>0.58813133599832601</v>
      </c>
      <c r="D24">
        <v>33.384112237745597</v>
      </c>
      <c r="E24">
        <v>21.189257005722801</v>
      </c>
      <c r="F24">
        <v>12.1948552320227</v>
      </c>
      <c r="G24">
        <v>24.3897104640455</v>
      </c>
      <c r="H24">
        <v>25.254208749730399</v>
      </c>
      <c r="I24">
        <v>17.0727973248319</v>
      </c>
      <c r="J24">
        <v>41.799129457886202</v>
      </c>
      <c r="K24">
        <v>0.22414413591996901</v>
      </c>
      <c r="L24">
        <v>144.746350590182</v>
      </c>
      <c r="M24">
        <f t="shared" si="0"/>
        <v>696.82500000000005</v>
      </c>
      <c r="N24">
        <f t="shared" si="1"/>
        <v>0.57601805400907835</v>
      </c>
      <c r="O24">
        <f t="shared" si="4"/>
        <v>1209.7277075780992</v>
      </c>
      <c r="P24">
        <v>10.655222981490899</v>
      </c>
      <c r="Q24">
        <v>725.50831000000005</v>
      </c>
      <c r="R24">
        <f t="shared" si="2"/>
        <v>0.17200291844476057</v>
      </c>
      <c r="S24">
        <v>377.64134000000001</v>
      </c>
      <c r="T24">
        <v>0.26444000000000001</v>
      </c>
      <c r="U24">
        <f t="shared" si="5"/>
        <v>-0.57767285151107306</v>
      </c>
      <c r="V24">
        <v>2.0263300000000002</v>
      </c>
      <c r="W24">
        <f t="shared" si="3"/>
        <v>0.30671017424655345</v>
      </c>
      <c r="X24">
        <v>1552.5160000000001</v>
      </c>
      <c r="Y24">
        <v>-0.29444999999999999</v>
      </c>
      <c r="Z24">
        <v>1.7624200000000001</v>
      </c>
      <c r="AA24">
        <v>1.0083299999999999</v>
      </c>
      <c r="AB24">
        <v>12.24952</v>
      </c>
      <c r="AC24">
        <v>266.90548999999999</v>
      </c>
      <c r="AH24">
        <v>0.625</v>
      </c>
      <c r="AI24">
        <v>0.75</v>
      </c>
      <c r="AJ24">
        <v>266.60660999999999</v>
      </c>
    </row>
    <row r="25" spans="1:36" x14ac:dyDescent="0.25">
      <c r="A25" s="1">
        <v>0.875</v>
      </c>
      <c r="B25" s="1">
        <v>0.375</v>
      </c>
      <c r="C25">
        <v>0.52472725667693998</v>
      </c>
      <c r="D25">
        <v>29.584098711066101</v>
      </c>
      <c r="E25">
        <v>17.930972557652701</v>
      </c>
      <c r="F25">
        <v>11.6531261534133</v>
      </c>
      <c r="G25">
        <v>23.3062523068267</v>
      </c>
      <c r="H25">
        <v>21.8153479421238</v>
      </c>
      <c r="I25">
        <v>16.314376614778698</v>
      </c>
      <c r="J25">
        <v>39.177076188077798</v>
      </c>
      <c r="K25">
        <v>0.20069179206603599</v>
      </c>
      <c r="L25">
        <v>143.294913822615</v>
      </c>
      <c r="M25">
        <f t="shared" si="0"/>
        <v>686.21500000000003</v>
      </c>
      <c r="N25">
        <f t="shared" si="1"/>
        <v>0.56354788054817395</v>
      </c>
      <c r="O25">
        <f t="shared" si="4"/>
        <v>1217.6693830034556</v>
      </c>
      <c r="P25">
        <v>10.6784887740799</v>
      </c>
      <c r="Q25">
        <v>1019.42084</v>
      </c>
      <c r="R25">
        <f t="shared" si="2"/>
        <v>0.24168346135609292</v>
      </c>
      <c r="S25">
        <v>621.17799000000002</v>
      </c>
      <c r="T25">
        <v>0.27167000000000002</v>
      </c>
      <c r="U25">
        <f t="shared" si="5"/>
        <v>-0.5659583172457282</v>
      </c>
      <c r="V25">
        <v>1.37429</v>
      </c>
      <c r="W25">
        <f t="shared" si="3"/>
        <v>0.13807838637014053</v>
      </c>
      <c r="X25">
        <v>1462.7529999999999</v>
      </c>
      <c r="Y25">
        <v>-0.21884000000000001</v>
      </c>
      <c r="Z25">
        <v>1.8435600000000001</v>
      </c>
      <c r="AA25">
        <v>1.06281</v>
      </c>
      <c r="AB25">
        <v>12.3391</v>
      </c>
      <c r="AC25">
        <v>266.24182000000002</v>
      </c>
      <c r="AH25">
        <v>0.5</v>
      </c>
      <c r="AI25">
        <v>0.75</v>
      </c>
      <c r="AJ25">
        <v>265.80846000000003</v>
      </c>
    </row>
    <row r="26" spans="1:36" x14ac:dyDescent="0.25">
      <c r="A26" s="1">
        <v>0.25</v>
      </c>
      <c r="B26" s="1">
        <v>0.5</v>
      </c>
      <c r="C26">
        <v>0.75225317380069401</v>
      </c>
      <c r="D26">
        <v>35.348444698000399</v>
      </c>
      <c r="E26">
        <v>23.1861871156345</v>
      </c>
      <c r="F26">
        <v>12.1622575823659</v>
      </c>
      <c r="G26">
        <v>24.3245151647318</v>
      </c>
      <c r="H26">
        <v>27.2402729764231</v>
      </c>
      <c r="I26">
        <v>17.027160615312201</v>
      </c>
      <c r="J26">
        <v>42.273477875928997</v>
      </c>
      <c r="K26">
        <v>0.241354293619369</v>
      </c>
      <c r="L26">
        <v>137.390238825111</v>
      </c>
      <c r="M26">
        <f t="shared" si="0"/>
        <v>727.37</v>
      </c>
      <c r="N26">
        <f t="shared" si="1"/>
        <v>0.61791905623452914</v>
      </c>
      <c r="O26">
        <f t="shared" si="4"/>
        <v>1177.1282867248701</v>
      </c>
      <c r="P26">
        <v>10.5586387670077</v>
      </c>
      <c r="Q26">
        <v>840.65597000000002</v>
      </c>
      <c r="R26">
        <f t="shared" si="2"/>
        <v>0.19930203176861072</v>
      </c>
      <c r="S26">
        <v>102.58417</v>
      </c>
      <c r="T26">
        <v>0.41097</v>
      </c>
      <c r="U26">
        <f t="shared" si="5"/>
        <v>-0.38618987960807954</v>
      </c>
      <c r="V26">
        <v>9.4444099999999995</v>
      </c>
      <c r="W26">
        <f t="shared" si="3"/>
        <v>0.97517483237455727</v>
      </c>
      <c r="X26">
        <v>120.7385</v>
      </c>
      <c r="Y26">
        <v>-0.92684999999999995</v>
      </c>
      <c r="Z26">
        <v>2.0965600000000002</v>
      </c>
      <c r="AA26">
        <v>0.84743999999999997</v>
      </c>
      <c r="AB26">
        <v>21.3292</v>
      </c>
      <c r="AC26">
        <v>268.05511999999999</v>
      </c>
      <c r="AH26">
        <v>0.375</v>
      </c>
      <c r="AI26">
        <v>0.75</v>
      </c>
      <c r="AJ26">
        <v>266.62635</v>
      </c>
    </row>
    <row r="27" spans="1:36" x14ac:dyDescent="0.25">
      <c r="A27" s="1">
        <v>0.375</v>
      </c>
      <c r="B27" s="1">
        <v>0.5</v>
      </c>
      <c r="C27">
        <v>0.773372155947321</v>
      </c>
      <c r="D27">
        <v>33.144669666439398</v>
      </c>
      <c r="E27">
        <v>20.954868699123899</v>
      </c>
      <c r="F27">
        <v>12.189800967315501</v>
      </c>
      <c r="G27">
        <v>24.379601934631101</v>
      </c>
      <c r="H27">
        <v>25.018135688228998</v>
      </c>
      <c r="I27">
        <v>17.065721354241699</v>
      </c>
      <c r="J27">
        <v>41.712629563939899</v>
      </c>
      <c r="K27">
        <v>0.22211738660469901</v>
      </c>
      <c r="L27">
        <v>139.13511582827999</v>
      </c>
      <c r="M27">
        <f t="shared" si="0"/>
        <v>716.76</v>
      </c>
      <c r="N27">
        <f t="shared" si="1"/>
        <v>0.605990644877062</v>
      </c>
      <c r="O27">
        <f t="shared" si="4"/>
        <v>1182.7905365526062</v>
      </c>
      <c r="P27">
        <v>10.5755414970931</v>
      </c>
      <c r="Q27">
        <v>962.56073000000004</v>
      </c>
      <c r="R27">
        <f t="shared" si="2"/>
        <v>0.2282031128496918</v>
      </c>
      <c r="S27">
        <v>143.82884000000001</v>
      </c>
      <c r="T27">
        <v>0.34745999999999999</v>
      </c>
      <c r="U27">
        <f t="shared" si="5"/>
        <v>-0.45909518468298244</v>
      </c>
      <c r="V27">
        <v>5.5126299999999997</v>
      </c>
      <c r="W27">
        <f t="shared" si="3"/>
        <v>0.74135884422046394</v>
      </c>
      <c r="X27">
        <v>1048.6410000000001</v>
      </c>
      <c r="Y27">
        <v>-0.76881999999999995</v>
      </c>
      <c r="Z27">
        <v>2.12297</v>
      </c>
      <c r="AA27">
        <v>0.86990000000000001</v>
      </c>
      <c r="AB27">
        <v>16.926690000000001</v>
      </c>
      <c r="AC27">
        <v>267.18466999999998</v>
      </c>
      <c r="AH27">
        <v>0.25</v>
      </c>
      <c r="AI27">
        <v>0.75</v>
      </c>
      <c r="AJ27">
        <v>267.20353</v>
      </c>
    </row>
    <row r="28" spans="1:36" x14ac:dyDescent="0.25">
      <c r="A28" s="1">
        <v>0.5</v>
      </c>
      <c r="B28" s="1">
        <v>0.5</v>
      </c>
      <c r="C28">
        <v>0.78369930852707603</v>
      </c>
      <c r="D28">
        <v>31.842616307881599</v>
      </c>
      <c r="E28">
        <v>19.454807282431801</v>
      </c>
      <c r="F28">
        <v>12.3878090254497</v>
      </c>
      <c r="G28">
        <v>24.775618050899499</v>
      </c>
      <c r="H28">
        <v>23.584076957581701</v>
      </c>
      <c r="I28">
        <v>17.342932635629701</v>
      </c>
      <c r="J28">
        <v>41.786102379952602</v>
      </c>
      <c r="K28">
        <v>0.20470116726701501</v>
      </c>
      <c r="L28">
        <v>142.07834341767801</v>
      </c>
      <c r="M28">
        <f t="shared" si="0"/>
        <v>706.15000000000009</v>
      </c>
      <c r="N28">
        <f t="shared" si="1"/>
        <v>0.59474883805864842</v>
      </c>
      <c r="O28">
        <f t="shared" si="4"/>
        <v>1187.3079101843766</v>
      </c>
      <c r="P28">
        <v>10.5889879413757</v>
      </c>
      <c r="Q28">
        <v>1102.84331</v>
      </c>
      <c r="R28">
        <f t="shared" si="2"/>
        <v>0.26146119250829775</v>
      </c>
      <c r="S28">
        <v>218.48114000000001</v>
      </c>
      <c r="T28">
        <v>0.38778000000000001</v>
      </c>
      <c r="U28">
        <f t="shared" si="5"/>
        <v>-0.41141459369368361</v>
      </c>
      <c r="V28">
        <v>5.8506299999999998</v>
      </c>
      <c r="W28">
        <f t="shared" si="3"/>
        <v>0.76720263373894138</v>
      </c>
      <c r="X28">
        <v>959.16269999999997</v>
      </c>
      <c r="Y28">
        <v>-0.61721000000000004</v>
      </c>
      <c r="Z28">
        <v>1.9777400000000001</v>
      </c>
      <c r="AA28">
        <v>0.90351000000000004</v>
      </c>
      <c r="AB28">
        <v>14.71946</v>
      </c>
      <c r="AC28">
        <v>267.24243000000001</v>
      </c>
      <c r="AH28">
        <v>0.125</v>
      </c>
      <c r="AI28">
        <v>0.75</v>
      </c>
      <c r="AJ28">
        <v>265.25101999999998</v>
      </c>
    </row>
    <row r="29" spans="1:36" x14ac:dyDescent="0.25">
      <c r="A29" s="1">
        <v>0.625</v>
      </c>
      <c r="B29" s="1">
        <v>0.5</v>
      </c>
      <c r="C29">
        <v>0.85296998871407204</v>
      </c>
      <c r="D29">
        <v>29.603349939701602</v>
      </c>
      <c r="E29">
        <v>17.904238753326201</v>
      </c>
      <c r="F29">
        <v>11.699111186375401</v>
      </c>
      <c r="G29">
        <v>23.398222372750801</v>
      </c>
      <c r="H29">
        <v>21.803942482118</v>
      </c>
      <c r="I29">
        <v>16.378755660925499</v>
      </c>
      <c r="J29">
        <v>39.296614538371102</v>
      </c>
      <c r="K29">
        <v>0.19962148993162299</v>
      </c>
      <c r="L29">
        <v>140.588454012037</v>
      </c>
      <c r="M29">
        <f t="shared" si="0"/>
        <v>695.54000000000008</v>
      </c>
      <c r="N29">
        <f t="shared" si="1"/>
        <v>0.5826318077472058</v>
      </c>
      <c r="O29">
        <f t="shared" si="4"/>
        <v>1193.7899557687438</v>
      </c>
      <c r="P29">
        <v>10.608222988533701</v>
      </c>
      <c r="Q29">
        <v>1039.12168</v>
      </c>
      <c r="R29">
        <f t="shared" si="2"/>
        <v>0.2463541204362257</v>
      </c>
      <c r="S29">
        <v>291.46802000000002</v>
      </c>
      <c r="T29">
        <v>0.41686000000000001</v>
      </c>
      <c r="U29">
        <f t="shared" si="5"/>
        <v>-0.38000977580847872</v>
      </c>
      <c r="V29">
        <v>2.9925999999999999</v>
      </c>
      <c r="W29">
        <f t="shared" si="3"/>
        <v>0.47604867160060976</v>
      </c>
      <c r="X29">
        <v>967.94989999999996</v>
      </c>
      <c r="Y29">
        <v>-0.55179999999999996</v>
      </c>
      <c r="Z29">
        <v>2.0844900000000002</v>
      </c>
      <c r="AA29">
        <v>0.95191999999999999</v>
      </c>
      <c r="AB29">
        <v>13.18533</v>
      </c>
      <c r="AC29">
        <v>267.26190000000003</v>
      </c>
    </row>
    <row r="30" spans="1:36" x14ac:dyDescent="0.25">
      <c r="A30" s="1">
        <v>0.75</v>
      </c>
      <c r="B30" s="1">
        <v>0.5</v>
      </c>
      <c r="C30">
        <v>0.71802497366040496</v>
      </c>
      <c r="D30">
        <v>31.7714366279911</v>
      </c>
      <c r="E30">
        <v>19.596421936199299</v>
      </c>
      <c r="F30">
        <v>12.1750146917918</v>
      </c>
      <c r="G30">
        <v>24.3500293835836</v>
      </c>
      <c r="H30">
        <v>23.654760166796599</v>
      </c>
      <c r="I30">
        <v>17.045020568508502</v>
      </c>
      <c r="J30">
        <v>41.231583687215903</v>
      </c>
      <c r="K30">
        <v>0.20949058176536101</v>
      </c>
      <c r="L30">
        <v>146.821182964625</v>
      </c>
      <c r="M30">
        <f t="shared" si="0"/>
        <v>684.93000000000006</v>
      </c>
      <c r="N30">
        <f t="shared" ref="N30:N49" si="6">M30/(P30)^3</f>
        <v>0.57165263330826255</v>
      </c>
      <c r="O30">
        <f t="shared" si="4"/>
        <v>1198.1576924367162</v>
      </c>
      <c r="P30">
        <v>10.6211447288979</v>
      </c>
      <c r="Q30">
        <v>971.28498999999999</v>
      </c>
      <c r="R30">
        <f t="shared" si="2"/>
        <v>0.23027145329540066</v>
      </c>
      <c r="S30">
        <v>396.43331999999998</v>
      </c>
      <c r="T30">
        <v>0.30204999999999999</v>
      </c>
      <c r="U30">
        <f t="shared" si="5"/>
        <v>-0.51992115993451482</v>
      </c>
      <c r="V30">
        <v>2.08466</v>
      </c>
      <c r="W30">
        <f t="shared" si="3"/>
        <v>0.31903523333155537</v>
      </c>
      <c r="X30">
        <v>979.15089999999998</v>
      </c>
      <c r="Y30">
        <v>-0.41453000000000001</v>
      </c>
      <c r="Z30">
        <v>2.0220500000000001</v>
      </c>
      <c r="AA30">
        <v>1.0103800000000001</v>
      </c>
      <c r="AB30">
        <v>11.864050000000001</v>
      </c>
      <c r="AC30">
        <v>266.56605000000002</v>
      </c>
      <c r="AH30" t="s">
        <v>33</v>
      </c>
      <c r="AI30" t="s">
        <v>33</v>
      </c>
      <c r="AJ30" t="s">
        <v>33</v>
      </c>
    </row>
    <row r="31" spans="1:36" x14ac:dyDescent="0.25">
      <c r="A31" s="1">
        <v>0.875</v>
      </c>
      <c r="B31" s="1">
        <v>0.5</v>
      </c>
      <c r="C31">
        <v>0.61596161792743698</v>
      </c>
      <c r="D31">
        <v>30.175550801592099</v>
      </c>
      <c r="E31">
        <v>18.6292899792954</v>
      </c>
      <c r="F31">
        <v>11.5462608222967</v>
      </c>
      <c r="G31">
        <v>23.092521644593401</v>
      </c>
      <c r="H31">
        <v>22.478043586727601</v>
      </c>
      <c r="I31">
        <v>16.164765151215398</v>
      </c>
      <c r="J31">
        <v>39.117390547956397</v>
      </c>
      <c r="K31">
        <v>0.20995851724499701</v>
      </c>
      <c r="L31">
        <v>146.09914087054</v>
      </c>
      <c r="M31">
        <f t="shared" si="0"/>
        <v>674.32</v>
      </c>
      <c r="N31">
        <f t="shared" si="6"/>
        <v>0.55920608917896497</v>
      </c>
      <c r="O31">
        <f t="shared" si="4"/>
        <v>1205.8523915396686</v>
      </c>
      <c r="P31">
        <v>10.643832945061501</v>
      </c>
      <c r="Q31">
        <v>1309.9162200000001</v>
      </c>
      <c r="R31">
        <f t="shared" si="2"/>
        <v>0.31055386913229022</v>
      </c>
      <c r="S31">
        <v>697.70965000000001</v>
      </c>
      <c r="T31">
        <v>0.25557000000000002</v>
      </c>
      <c r="U31">
        <f t="shared" si="5"/>
        <v>-0.59249012703601567</v>
      </c>
      <c r="V31">
        <v>1.58222</v>
      </c>
      <c r="W31">
        <f t="shared" si="3"/>
        <v>0.19926686989692435</v>
      </c>
      <c r="X31">
        <v>912.02350000000001</v>
      </c>
      <c r="Y31">
        <v>-0.31287999999999999</v>
      </c>
      <c r="Z31">
        <v>1.9234100000000001</v>
      </c>
      <c r="AA31">
        <v>1.0467200000000001</v>
      </c>
      <c r="AB31">
        <v>11.52148</v>
      </c>
      <c r="AC31">
        <v>266.3809</v>
      </c>
    </row>
    <row r="32" spans="1:36" x14ac:dyDescent="0.25">
      <c r="A32" s="1">
        <v>0.25</v>
      </c>
      <c r="B32" s="1">
        <v>0.625</v>
      </c>
      <c r="C32">
        <v>0.69477234180198999</v>
      </c>
      <c r="D32">
        <v>36.546387641918798</v>
      </c>
      <c r="E32">
        <v>23.950506170864699</v>
      </c>
      <c r="F32">
        <v>12.595881471054099</v>
      </c>
      <c r="G32">
        <v>25.191762942108198</v>
      </c>
      <c r="H32">
        <v>28.149133327882801</v>
      </c>
      <c r="I32">
        <v>17.634234059475698</v>
      </c>
      <c r="J32">
        <v>43.763951203898102</v>
      </c>
      <c r="K32">
        <v>0.24088041069131599</v>
      </c>
      <c r="L32">
        <v>142.266166642999</v>
      </c>
      <c r="M32">
        <f t="shared" si="0"/>
        <v>715.47500000000002</v>
      </c>
      <c r="N32">
        <f t="shared" si="6"/>
        <v>0.61488695648050118</v>
      </c>
      <c r="O32">
        <f t="shared" si="4"/>
        <v>1163.5878635241284</v>
      </c>
      <c r="P32">
        <v>10.5179974439696</v>
      </c>
      <c r="Q32">
        <v>1382.0274099999999</v>
      </c>
      <c r="R32">
        <f t="shared" si="2"/>
        <v>0.32764993124703651</v>
      </c>
      <c r="S32">
        <v>248.61098999999999</v>
      </c>
      <c r="T32">
        <v>0.56935000000000002</v>
      </c>
      <c r="U32">
        <f t="shared" si="5"/>
        <v>-0.24462067501406323</v>
      </c>
      <c r="V32">
        <v>4.5515400000000001</v>
      </c>
      <c r="W32">
        <f t="shared" si="3"/>
        <v>0.65815836376564874</v>
      </c>
      <c r="X32">
        <v>4205.335</v>
      </c>
      <c r="Y32">
        <v>-1.0725100000000001</v>
      </c>
      <c r="Z32">
        <v>2.3565800000000001</v>
      </c>
      <c r="AA32">
        <v>0.87075999999999998</v>
      </c>
      <c r="AB32">
        <v>21.548500000000001</v>
      </c>
      <c r="AC32">
        <v>268.74167</v>
      </c>
    </row>
    <row r="33" spans="1:36" x14ac:dyDescent="0.25">
      <c r="A33" s="1">
        <v>0.375</v>
      </c>
      <c r="B33" s="1">
        <v>0.625</v>
      </c>
      <c r="C33">
        <v>0.73324000254120603</v>
      </c>
      <c r="D33">
        <v>34.610108621416998</v>
      </c>
      <c r="E33">
        <v>22.011190809619499</v>
      </c>
      <c r="F33">
        <v>12.5989178117975</v>
      </c>
      <c r="G33">
        <v>25.197835623595001</v>
      </c>
      <c r="H33">
        <v>26.210830080218699</v>
      </c>
      <c r="I33">
        <v>17.638484936516502</v>
      </c>
      <c r="J33">
        <v>43.220440805074503</v>
      </c>
      <c r="K33">
        <v>0.22517441153906201</v>
      </c>
      <c r="L33">
        <v>144.20504285578599</v>
      </c>
      <c r="M33">
        <f t="shared" si="0"/>
        <v>704.86500000000001</v>
      </c>
      <c r="N33">
        <f t="shared" si="6"/>
        <v>0.60292112552272714</v>
      </c>
      <c r="O33">
        <f t="shared" si="4"/>
        <v>1169.0832683775816</v>
      </c>
      <c r="P33">
        <v>10.534529614327299</v>
      </c>
      <c r="Q33">
        <v>1815.64418</v>
      </c>
      <c r="R33">
        <f t="shared" si="2"/>
        <v>0.43045144144144143</v>
      </c>
      <c r="S33">
        <v>301.79347000000001</v>
      </c>
      <c r="T33">
        <v>0.4491</v>
      </c>
      <c r="U33">
        <f t="shared" si="5"/>
        <v>-0.34765694493728522</v>
      </c>
      <c r="V33">
        <v>1.8183499999999999</v>
      </c>
      <c r="W33">
        <f t="shared" si="3"/>
        <v>0.25967748088748066</v>
      </c>
      <c r="X33">
        <v>662.0154</v>
      </c>
      <c r="Y33">
        <v>-0.92081000000000002</v>
      </c>
      <c r="Z33">
        <v>2.3162699999999998</v>
      </c>
      <c r="AA33">
        <v>0.88300999999999996</v>
      </c>
      <c r="AB33">
        <v>17.573029999999999</v>
      </c>
      <c r="AC33">
        <v>268.25889999999998</v>
      </c>
      <c r="AH33">
        <v>0.75</v>
      </c>
      <c r="AI33">
        <v>0.625</v>
      </c>
      <c r="AJ33">
        <v>267.13387999999998</v>
      </c>
    </row>
    <row r="34" spans="1:36" x14ac:dyDescent="0.25">
      <c r="A34" s="1">
        <v>0.5</v>
      </c>
      <c r="B34" s="1">
        <v>0.625</v>
      </c>
      <c r="C34">
        <v>0.77799767700705702</v>
      </c>
      <c r="D34">
        <v>33.072138916079197</v>
      </c>
      <c r="E34">
        <v>20.798992318618001</v>
      </c>
      <c r="F34">
        <v>12.273146597461199</v>
      </c>
      <c r="G34">
        <v>24.546293194922399</v>
      </c>
      <c r="H34">
        <v>24.890041184438399</v>
      </c>
      <c r="I34">
        <v>17.1824052364457</v>
      </c>
      <c r="J34">
        <v>41.904529102901002</v>
      </c>
      <c r="K34">
        <v>0.21940230503984101</v>
      </c>
      <c r="L34">
        <v>144.850510530154</v>
      </c>
      <c r="M34">
        <f t="shared" si="0"/>
        <v>694.255</v>
      </c>
      <c r="N34">
        <f t="shared" si="6"/>
        <v>0.59149722914629899</v>
      </c>
      <c r="O34">
        <f t="shared" si="4"/>
        <v>1173.7248558239403</v>
      </c>
      <c r="P34">
        <v>10.548452880126501</v>
      </c>
      <c r="Q34">
        <v>1974.50947</v>
      </c>
      <c r="R34">
        <f t="shared" si="2"/>
        <v>0.46811509483167379</v>
      </c>
      <c r="S34">
        <v>380.64503000000002</v>
      </c>
      <c r="T34">
        <v>0.46126</v>
      </c>
      <c r="U34">
        <f t="shared" si="5"/>
        <v>-0.33605420533642422</v>
      </c>
      <c r="V34">
        <v>2.9638100000000001</v>
      </c>
      <c r="W34">
        <f t="shared" si="3"/>
        <v>0.4718503590250987</v>
      </c>
      <c r="X34">
        <v>749.83920000000001</v>
      </c>
      <c r="Y34">
        <v>-0.75036000000000003</v>
      </c>
      <c r="Z34">
        <v>2.2264900000000001</v>
      </c>
      <c r="AA34">
        <v>0.91547999999999996</v>
      </c>
      <c r="AB34">
        <v>15.00666</v>
      </c>
      <c r="AC34">
        <v>267.90865000000002</v>
      </c>
      <c r="AH34">
        <v>0.625</v>
      </c>
      <c r="AI34">
        <v>0.625</v>
      </c>
      <c r="AJ34">
        <v>266.36261000000002</v>
      </c>
    </row>
    <row r="35" spans="1:36" x14ac:dyDescent="0.25">
      <c r="A35" s="1">
        <v>0.625</v>
      </c>
      <c r="B35" s="1">
        <v>0.625</v>
      </c>
      <c r="C35">
        <v>0.82887376465759999</v>
      </c>
      <c r="D35">
        <v>30.6360085994509</v>
      </c>
      <c r="E35">
        <v>18.7688005808944</v>
      </c>
      <c r="F35">
        <v>11.867208018556401</v>
      </c>
      <c r="G35">
        <v>23.734416037112801</v>
      </c>
      <c r="H35">
        <v>22.7245365870799</v>
      </c>
      <c r="I35">
        <v>16.614091225978999</v>
      </c>
      <c r="J35">
        <v>40.075714705895898</v>
      </c>
      <c r="K35">
        <v>0.20607603993502299</v>
      </c>
      <c r="L35">
        <v>144.74330723521501</v>
      </c>
      <c r="M35">
        <f t="shared" si="0"/>
        <v>683.64499999999998</v>
      </c>
      <c r="N35">
        <f t="shared" si="6"/>
        <v>0.57918586799531369</v>
      </c>
      <c r="O35">
        <f t="shared" si="4"/>
        <v>1180.3551118507808</v>
      </c>
      <c r="P35">
        <v>10.568277987047701</v>
      </c>
      <c r="Q35">
        <v>1686.1468299999999</v>
      </c>
      <c r="R35">
        <f t="shared" si="2"/>
        <v>0.3997503153153153</v>
      </c>
      <c r="S35">
        <v>486.05052999999998</v>
      </c>
      <c r="T35">
        <v>0.40487000000000001</v>
      </c>
      <c r="U35">
        <f t="shared" si="5"/>
        <v>-0.39268440233049878</v>
      </c>
      <c r="V35">
        <v>1.83022</v>
      </c>
      <c r="W35">
        <f t="shared" si="3"/>
        <v>0.26250329685794299</v>
      </c>
      <c r="X35">
        <v>768.60140000000001</v>
      </c>
      <c r="Y35">
        <v>-0.56540000000000001</v>
      </c>
      <c r="Z35">
        <v>2.1947700000000001</v>
      </c>
      <c r="AA35">
        <v>0.96123000000000003</v>
      </c>
      <c r="AB35">
        <v>13.202159999999999</v>
      </c>
      <c r="AC35">
        <v>267.26463999999999</v>
      </c>
      <c r="AH35">
        <v>0.5</v>
      </c>
      <c r="AI35">
        <v>0.625</v>
      </c>
      <c r="AJ35">
        <v>265.68894</v>
      </c>
    </row>
    <row r="36" spans="1:36" x14ac:dyDescent="0.25">
      <c r="A36" s="1">
        <v>0.75</v>
      </c>
      <c r="B36" s="1">
        <v>0.625</v>
      </c>
      <c r="C36">
        <v>0.67703053672334801</v>
      </c>
      <c r="D36">
        <v>29.552954270234601</v>
      </c>
      <c r="E36">
        <v>17.518390681560501</v>
      </c>
      <c r="F36">
        <v>12.034563588674001</v>
      </c>
      <c r="G36">
        <v>24.069127177348101</v>
      </c>
      <c r="H36">
        <v>21.529911877785199</v>
      </c>
      <c r="I36">
        <v>16.8483890241437</v>
      </c>
      <c r="J36">
        <v>40.0880913267873</v>
      </c>
      <c r="K36">
        <v>0.18967134689675899</v>
      </c>
      <c r="L36">
        <v>148.071600114597</v>
      </c>
      <c r="M36">
        <f t="shared" si="0"/>
        <v>673.03500000000008</v>
      </c>
      <c r="N36">
        <f t="shared" si="6"/>
        <v>0.56803308260753527</v>
      </c>
      <c r="O36">
        <f t="shared" si="4"/>
        <v>1184.851764109332</v>
      </c>
      <c r="P36">
        <v>10.5816811999004</v>
      </c>
      <c r="Q36">
        <v>1643.35475</v>
      </c>
      <c r="R36">
        <f t="shared" si="2"/>
        <v>0.38960520388809861</v>
      </c>
      <c r="S36">
        <v>531.88058999999998</v>
      </c>
      <c r="T36">
        <v>0.22539999999999999</v>
      </c>
      <c r="U36">
        <f t="shared" si="5"/>
        <v>-0.64704608828991228</v>
      </c>
      <c r="V36">
        <v>1.8193900000000001</v>
      </c>
      <c r="W36">
        <f t="shared" si="3"/>
        <v>0.25992580334784615</v>
      </c>
      <c r="X36">
        <v>705.16560000000004</v>
      </c>
      <c r="Y36">
        <v>-0.45230999999999999</v>
      </c>
      <c r="Z36">
        <v>2.0562299999999998</v>
      </c>
      <c r="AA36">
        <v>0.99570999999999998</v>
      </c>
      <c r="AB36">
        <v>11.18539</v>
      </c>
      <c r="AC36">
        <v>268.17711000000003</v>
      </c>
      <c r="AH36">
        <v>0.375</v>
      </c>
      <c r="AI36">
        <v>0.625</v>
      </c>
      <c r="AJ36">
        <v>266.48090000000002</v>
      </c>
    </row>
    <row r="37" spans="1:36" x14ac:dyDescent="0.25">
      <c r="A37" s="1">
        <v>0.875</v>
      </c>
      <c r="B37" s="1">
        <v>0.625</v>
      </c>
      <c r="C37">
        <v>0.56039951117522602</v>
      </c>
      <c r="D37">
        <v>27.250211774964299</v>
      </c>
      <c r="E37">
        <v>15.5954073900556</v>
      </c>
      <c r="F37">
        <v>11.6548043849086</v>
      </c>
      <c r="G37">
        <v>23.309608769817299</v>
      </c>
      <c r="H37">
        <v>19.480342185025201</v>
      </c>
      <c r="I37">
        <v>16.316726138872099</v>
      </c>
      <c r="J37">
        <v>38.266247628291303</v>
      </c>
      <c r="K37">
        <v>0.17260801286379901</v>
      </c>
      <c r="L37">
        <v>148.20634391048</v>
      </c>
      <c r="M37">
        <f t="shared" si="0"/>
        <v>662.42499999999995</v>
      </c>
      <c r="N37">
        <f t="shared" si="6"/>
        <v>0.55585384855699027</v>
      </c>
      <c r="O37">
        <f t="shared" si="4"/>
        <v>1191.7251301212916</v>
      </c>
      <c r="P37">
        <v>10.6021033268936</v>
      </c>
      <c r="Q37">
        <v>1638.9590900000001</v>
      </c>
      <c r="R37">
        <f t="shared" si="2"/>
        <v>0.38856308440018966</v>
      </c>
      <c r="S37">
        <v>685.50135</v>
      </c>
      <c r="T37">
        <v>0.23468</v>
      </c>
      <c r="U37">
        <f t="shared" si="5"/>
        <v>-0.62952392045570593</v>
      </c>
      <c r="V37">
        <v>1.7173700000000001</v>
      </c>
      <c r="W37">
        <f t="shared" si="3"/>
        <v>0.23486387212491625</v>
      </c>
      <c r="X37">
        <v>697.27080000000001</v>
      </c>
      <c r="Y37">
        <v>-0.35132000000000002</v>
      </c>
      <c r="Z37">
        <v>1.95604</v>
      </c>
      <c r="AA37">
        <v>1.01867</v>
      </c>
      <c r="AB37">
        <v>10.53262</v>
      </c>
      <c r="AC37">
        <v>267.30459999999999</v>
      </c>
      <c r="AH37">
        <v>0.25</v>
      </c>
      <c r="AI37">
        <v>0.625</v>
      </c>
      <c r="AJ37">
        <v>266.90548999999999</v>
      </c>
    </row>
    <row r="38" spans="1:36" x14ac:dyDescent="0.25">
      <c r="A38" s="1">
        <v>0.25</v>
      </c>
      <c r="B38" s="1">
        <v>0.75</v>
      </c>
      <c r="C38">
        <v>0.54908656204978101</v>
      </c>
      <c r="D38">
        <v>37.925528234140998</v>
      </c>
      <c r="E38">
        <v>25.2115687672399</v>
      </c>
      <c r="F38">
        <v>12.7139594669011</v>
      </c>
      <c r="G38">
        <v>25.4279189338022</v>
      </c>
      <c r="H38">
        <v>29.449555256206899</v>
      </c>
      <c r="I38">
        <v>17.799543253661501</v>
      </c>
      <c r="J38">
        <v>44.444439870532698</v>
      </c>
      <c r="K38">
        <v>0.24847135786447699</v>
      </c>
      <c r="L38">
        <v>146.01978817834899</v>
      </c>
      <c r="M38">
        <f t="shared" si="0"/>
        <v>703.58</v>
      </c>
      <c r="N38">
        <f t="shared" si="6"/>
        <v>0.61066478062250973</v>
      </c>
      <c r="O38">
        <f t="shared" si="4"/>
        <v>1152.1542134504184</v>
      </c>
      <c r="P38">
        <v>10.4834333263035</v>
      </c>
      <c r="Q38">
        <v>2202.4863399999999</v>
      </c>
      <c r="R38">
        <f t="shared" si="2"/>
        <v>0.52216366524419155</v>
      </c>
      <c r="S38">
        <v>392.20105000000001</v>
      </c>
      <c r="T38">
        <v>0.88426000000000005</v>
      </c>
      <c r="U38">
        <f t="shared" si="5"/>
        <v>-5.342002009645988E-2</v>
      </c>
      <c r="V38">
        <v>1.6360600000000001</v>
      </c>
      <c r="W38">
        <f t="shared" si="3"/>
        <v>0.21379922671372462</v>
      </c>
      <c r="X38">
        <v>3500</v>
      </c>
      <c r="Y38">
        <v>-1.15665</v>
      </c>
      <c r="Z38">
        <v>2.54914</v>
      </c>
      <c r="AA38">
        <v>0.88170999999999999</v>
      </c>
      <c r="AB38">
        <v>16.432780000000001</v>
      </c>
      <c r="AC38">
        <v>271.13986</v>
      </c>
      <c r="AH38">
        <v>0.125</v>
      </c>
      <c r="AI38">
        <v>0.625</v>
      </c>
      <c r="AJ38">
        <v>266.24182000000002</v>
      </c>
    </row>
    <row r="39" spans="1:36" x14ac:dyDescent="0.25">
      <c r="A39" s="1">
        <v>0.375</v>
      </c>
      <c r="B39" s="1">
        <v>0.75</v>
      </c>
      <c r="C39">
        <v>0.68431747130605003</v>
      </c>
      <c r="D39">
        <v>35.564794632870601</v>
      </c>
      <c r="E39">
        <v>22.907502688552999</v>
      </c>
      <c r="F39">
        <v>12.657291944317601</v>
      </c>
      <c r="G39">
        <v>25.314583888635301</v>
      </c>
      <c r="H39">
        <v>27.1266000033255</v>
      </c>
      <c r="I39">
        <v>17.720208722044699</v>
      </c>
      <c r="J39">
        <v>43.654901560137198</v>
      </c>
      <c r="K39">
        <v>0.23178293904147301</v>
      </c>
      <c r="L39">
        <v>147.71208043604199</v>
      </c>
      <c r="M39">
        <f t="shared" si="0"/>
        <v>692.97</v>
      </c>
      <c r="N39">
        <f t="shared" si="6"/>
        <v>0.59853272387365941</v>
      </c>
      <c r="O39">
        <f t="shared" si="4"/>
        <v>1157.7813081215502</v>
      </c>
      <c r="P39">
        <v>10.5004725656445</v>
      </c>
      <c r="Q39">
        <v>3058.5313900000001</v>
      </c>
      <c r="R39">
        <f t="shared" si="2"/>
        <v>0.72511412754860127</v>
      </c>
      <c r="S39">
        <v>444.72037</v>
      </c>
      <c r="T39">
        <v>0.73102</v>
      </c>
      <c r="U39">
        <f t="shared" si="5"/>
        <v>-0.13607074100271654</v>
      </c>
      <c r="V39">
        <v>0.87331000000000003</v>
      </c>
      <c r="W39">
        <f t="shared" si="3"/>
        <v>-5.8831566842609914E-2</v>
      </c>
      <c r="X39">
        <v>150</v>
      </c>
      <c r="Y39">
        <v>-1.01677</v>
      </c>
      <c r="Z39">
        <v>2.56941</v>
      </c>
      <c r="AA39">
        <v>0.87539</v>
      </c>
      <c r="AB39">
        <v>17.544519999999999</v>
      </c>
      <c r="AC39">
        <v>271.95528000000002</v>
      </c>
    </row>
    <row r="40" spans="1:36" x14ac:dyDescent="0.25">
      <c r="A40" s="1">
        <v>0.5</v>
      </c>
      <c r="B40" s="1">
        <v>0.75</v>
      </c>
      <c r="C40">
        <v>0.64024869939648099</v>
      </c>
      <c r="D40">
        <v>34.007206323284102</v>
      </c>
      <c r="E40">
        <v>21.896155816579501</v>
      </c>
      <c r="F40">
        <v>12.111050506704499</v>
      </c>
      <c r="G40">
        <v>24.222101013408999</v>
      </c>
      <c r="H40">
        <v>25.9331726521477</v>
      </c>
      <c r="I40">
        <v>16.955470709386301</v>
      </c>
      <c r="J40">
        <v>41.764369343137801</v>
      </c>
      <c r="K40">
        <v>0.23158979361208901</v>
      </c>
      <c r="L40">
        <v>147.44729931208599</v>
      </c>
      <c r="M40">
        <f t="shared" si="0"/>
        <v>682.36</v>
      </c>
      <c r="N40">
        <f t="shared" si="6"/>
        <v>0.58724538012524741</v>
      </c>
      <c r="O40">
        <f t="shared" si="4"/>
        <v>1161.9674212753562</v>
      </c>
      <c r="P40">
        <v>10.5131126315221</v>
      </c>
      <c r="Q40">
        <v>3248.61571</v>
      </c>
      <c r="R40">
        <f t="shared" si="2"/>
        <v>0.77017916311047896</v>
      </c>
      <c r="S40">
        <v>528.31519000000003</v>
      </c>
      <c r="T40">
        <v>0.70365999999999995</v>
      </c>
      <c r="U40">
        <f t="shared" si="5"/>
        <v>-0.15263713601683043</v>
      </c>
      <c r="V40">
        <v>1.76807</v>
      </c>
      <c r="W40">
        <f t="shared" si="3"/>
        <v>0.24749945525393607</v>
      </c>
      <c r="X40">
        <v>865.71680000000003</v>
      </c>
      <c r="Y40">
        <v>-0.88144999999999996</v>
      </c>
      <c r="Z40">
        <v>2.61754</v>
      </c>
      <c r="AA40">
        <v>0.91086999999999996</v>
      </c>
      <c r="AB40">
        <v>15.266</v>
      </c>
      <c r="AC40">
        <v>271.62963000000002</v>
      </c>
      <c r="AH40" t="s">
        <v>33</v>
      </c>
      <c r="AI40" t="s">
        <v>33</v>
      </c>
      <c r="AJ40" t="s">
        <v>33</v>
      </c>
    </row>
    <row r="41" spans="1:36" x14ac:dyDescent="0.25">
      <c r="A41" s="1">
        <v>0.625</v>
      </c>
      <c r="B41" s="1">
        <v>0.75</v>
      </c>
      <c r="C41">
        <v>0.74526639211608003</v>
      </c>
      <c r="D41">
        <v>32.221130092353803</v>
      </c>
      <c r="E41">
        <v>19.988814440450099</v>
      </c>
      <c r="F41">
        <v>12.232315651903599</v>
      </c>
      <c r="G41">
        <v>24.464631303807302</v>
      </c>
      <c r="H41">
        <v>24.066252991084699</v>
      </c>
      <c r="I41">
        <v>17.1252419126651</v>
      </c>
      <c r="J41">
        <v>41.525946026206903</v>
      </c>
      <c r="K41">
        <v>0.21241925334485201</v>
      </c>
      <c r="L41">
        <v>150.39901499509699</v>
      </c>
      <c r="M41">
        <f t="shared" si="0"/>
        <v>671.75</v>
      </c>
      <c r="N41">
        <f t="shared" si="6"/>
        <v>0.57489054090686298</v>
      </c>
      <c r="O41">
        <f t="shared" si="4"/>
        <v>1168.4833063009626</v>
      </c>
      <c r="P41">
        <v>10.532727233516599</v>
      </c>
      <c r="Q41">
        <v>2606.3751000000002</v>
      </c>
      <c r="R41">
        <f t="shared" si="2"/>
        <v>0.61791728307254623</v>
      </c>
      <c r="S41">
        <v>641.47145</v>
      </c>
      <c r="T41">
        <v>0.62412000000000001</v>
      </c>
      <c r="U41">
        <f t="shared" si="5"/>
        <v>-0.20473190017754303</v>
      </c>
      <c r="V41">
        <v>0.91437000000000002</v>
      </c>
      <c r="W41">
        <f t="shared" si="3"/>
        <v>-3.8878031353139247E-2</v>
      </c>
      <c r="X41">
        <v>680.60519999999997</v>
      </c>
      <c r="Y41">
        <v>-0.75377000000000005</v>
      </c>
      <c r="Z41">
        <v>2.6070700000000002</v>
      </c>
      <c r="AA41">
        <v>0.96286000000000005</v>
      </c>
      <c r="AB41">
        <v>13.257300000000001</v>
      </c>
      <c r="AC41">
        <v>269.31412999999998</v>
      </c>
    </row>
    <row r="42" spans="1:36" x14ac:dyDescent="0.25">
      <c r="A42" s="1">
        <v>0.75</v>
      </c>
      <c r="B42" s="1">
        <v>0.75</v>
      </c>
      <c r="C42">
        <v>0.45536154238016802</v>
      </c>
      <c r="D42">
        <v>30.8602006058399</v>
      </c>
      <c r="E42">
        <v>18.950616912501399</v>
      </c>
      <c r="F42">
        <v>11.909583693338501</v>
      </c>
      <c r="G42">
        <v>23.819167386677101</v>
      </c>
      <c r="H42">
        <v>22.920478143614201</v>
      </c>
      <c r="I42">
        <v>16.673417170673901</v>
      </c>
      <c r="J42">
        <v>40.258327603826501</v>
      </c>
      <c r="K42">
        <v>0.20726085096205599</v>
      </c>
      <c r="L42">
        <v>151.45228547379301</v>
      </c>
      <c r="M42">
        <f t="shared" si="0"/>
        <v>661.1400000000001</v>
      </c>
      <c r="N42">
        <f t="shared" si="6"/>
        <v>0.56357807270881533</v>
      </c>
      <c r="O42">
        <f t="shared" si="4"/>
        <v>1173.1116450685479</v>
      </c>
      <c r="P42">
        <v>10.5466155524295</v>
      </c>
      <c r="Q42">
        <v>2456.3037199999999</v>
      </c>
      <c r="R42">
        <f t="shared" si="2"/>
        <v>0.58233848269321953</v>
      </c>
      <c r="S42">
        <v>647.74284999999998</v>
      </c>
      <c r="T42">
        <v>0.42304999999999998</v>
      </c>
      <c r="U42">
        <f t="shared" si="5"/>
        <v>-0.37360830061356248</v>
      </c>
      <c r="V42">
        <v>1.28738</v>
      </c>
      <c r="W42">
        <f t="shared" si="3"/>
        <v>0.10970675789446725</v>
      </c>
      <c r="X42">
        <v>609.47680000000003</v>
      </c>
      <c r="Y42">
        <v>-0.65737999999999996</v>
      </c>
      <c r="Z42">
        <v>2.5872899999999999</v>
      </c>
      <c r="AA42">
        <v>0.98502000000000001</v>
      </c>
      <c r="AB42">
        <v>11.11056</v>
      </c>
      <c r="AC42">
        <v>269.61374999999998</v>
      </c>
    </row>
    <row r="43" spans="1:36" x14ac:dyDescent="0.25">
      <c r="A43" s="1">
        <v>0.875</v>
      </c>
      <c r="B43" s="1">
        <v>0.75</v>
      </c>
      <c r="C43">
        <v>0.47588771007133501</v>
      </c>
      <c r="D43">
        <v>28.7468865287738</v>
      </c>
      <c r="E43">
        <v>17.1456762234832</v>
      </c>
      <c r="F43">
        <v>11.6012103052906</v>
      </c>
      <c r="G43">
        <v>23.2024206105812</v>
      </c>
      <c r="H43">
        <v>21.012746325246699</v>
      </c>
      <c r="I43">
        <v>16.241694427406799</v>
      </c>
      <c r="J43">
        <v>38.743012414482401</v>
      </c>
      <c r="K43">
        <v>0.192702294321765</v>
      </c>
      <c r="L43">
        <v>152.265126645207</v>
      </c>
      <c r="M43">
        <f t="shared" si="0"/>
        <v>650.53</v>
      </c>
      <c r="N43">
        <f t="shared" si="6"/>
        <v>0.5516715102349804</v>
      </c>
      <c r="O43">
        <f t="shared" si="4"/>
        <v>1179.1981059941115</v>
      </c>
      <c r="P43">
        <v>10.564823784492701</v>
      </c>
      <c r="Q43">
        <v>2250.1270500000001</v>
      </c>
      <c r="R43">
        <f t="shared" si="2"/>
        <v>0.53345828591749644</v>
      </c>
      <c r="S43">
        <v>665.73812999999996</v>
      </c>
      <c r="T43">
        <v>0.41889999999999999</v>
      </c>
      <c r="U43">
        <f t="shared" si="5"/>
        <v>-0.37788963963878053</v>
      </c>
      <c r="V43">
        <v>1.63561</v>
      </c>
      <c r="W43">
        <f t="shared" si="3"/>
        <v>0.21367975713513696</v>
      </c>
      <c r="X43">
        <v>654.58730000000003</v>
      </c>
      <c r="Y43">
        <v>-0.61351999999999995</v>
      </c>
      <c r="Z43">
        <v>2.59592</v>
      </c>
      <c r="AA43">
        <v>0.99241999999999997</v>
      </c>
      <c r="AB43">
        <v>9.6479300000000006</v>
      </c>
      <c r="AC43">
        <v>268.41951999999998</v>
      </c>
      <c r="AH43">
        <v>0.75</v>
      </c>
      <c r="AI43">
        <v>0.5</v>
      </c>
      <c r="AJ43">
        <v>268.05511999999999</v>
      </c>
    </row>
    <row r="44" spans="1:36" x14ac:dyDescent="0.25">
      <c r="A44" s="1">
        <v>0.25</v>
      </c>
      <c r="B44" s="1">
        <v>0.875</v>
      </c>
      <c r="C44">
        <v>0.37221086367282502</v>
      </c>
      <c r="D44">
        <v>37.797212547473798</v>
      </c>
      <c r="E44">
        <v>26.031403394253299</v>
      </c>
      <c r="F44">
        <v>11.765809153220401</v>
      </c>
      <c r="G44">
        <v>23.531618306440802</v>
      </c>
      <c r="H44">
        <v>29.953339778660101</v>
      </c>
      <c r="I44">
        <v>16.472132814508601</v>
      </c>
      <c r="J44">
        <v>41.7612023253808</v>
      </c>
      <c r="K44">
        <v>0.26763190886239102</v>
      </c>
      <c r="L44">
        <v>144.23750479773099</v>
      </c>
      <c r="M44">
        <f t="shared" si="0"/>
        <v>691.68499999999995</v>
      </c>
      <c r="N44">
        <f t="shared" si="6"/>
        <v>0.60712203376077056</v>
      </c>
      <c r="O44">
        <f t="shared" si="4"/>
        <v>1139.2849567909941</v>
      </c>
      <c r="P44">
        <v>10.4442547016342</v>
      </c>
      <c r="Q44">
        <v>3520.1047199999998</v>
      </c>
      <c r="R44">
        <f t="shared" si="2"/>
        <v>0.83454355618776666</v>
      </c>
      <c r="S44">
        <v>550.33307000000002</v>
      </c>
      <c r="T44">
        <v>1.2987899999999999</v>
      </c>
      <c r="U44">
        <f t="shared" si="5"/>
        <v>0.11353893612771021</v>
      </c>
      <c r="V44">
        <v>0.43767</v>
      </c>
      <c r="W44">
        <f t="shared" si="3"/>
        <v>-0.35885322099249772</v>
      </c>
      <c r="X44">
        <v>2443.2530000000002</v>
      </c>
      <c r="Y44">
        <v>-1.54332</v>
      </c>
      <c r="Z44">
        <v>3.1896599999999999</v>
      </c>
      <c r="AA44">
        <v>0.90180000000000005</v>
      </c>
      <c r="AB44">
        <v>16.16263</v>
      </c>
      <c r="AC44">
        <v>271.94817</v>
      </c>
      <c r="AH44">
        <v>0.625</v>
      </c>
      <c r="AI44">
        <v>0.5</v>
      </c>
      <c r="AJ44">
        <v>267.18466999999998</v>
      </c>
    </row>
    <row r="45" spans="1:36" x14ac:dyDescent="0.25">
      <c r="A45" s="1">
        <v>0.375</v>
      </c>
      <c r="B45" s="1">
        <v>0.875</v>
      </c>
      <c r="C45">
        <v>0.44183497462274302</v>
      </c>
      <c r="D45">
        <v>36.623632911366002</v>
      </c>
      <c r="E45">
        <v>24.203930984242302</v>
      </c>
      <c r="F45">
        <v>12.419701927123601</v>
      </c>
      <c r="G45">
        <v>24.839403854247202</v>
      </c>
      <c r="H45">
        <v>28.3438316266169</v>
      </c>
      <c r="I45">
        <v>17.387582697972999</v>
      </c>
      <c r="J45">
        <v>43.307131370097601</v>
      </c>
      <c r="K45">
        <v>0.245346524653656</v>
      </c>
      <c r="L45">
        <v>149.99812752554899</v>
      </c>
      <c r="M45">
        <f t="shared" si="0"/>
        <v>681.07499999999993</v>
      </c>
      <c r="N45">
        <f t="shared" si="6"/>
        <v>0.59532673081221144</v>
      </c>
      <c r="O45">
        <f t="shared" si="4"/>
        <v>1144.035644209695</v>
      </c>
      <c r="P45">
        <v>10.4587516841981</v>
      </c>
      <c r="Q45">
        <v>4218.2910400000001</v>
      </c>
      <c r="R45">
        <f t="shared" si="2"/>
        <v>1.0000689995258416</v>
      </c>
      <c r="S45">
        <v>650.47640000000001</v>
      </c>
      <c r="T45">
        <v>1.1048800000000001</v>
      </c>
      <c r="U45">
        <f t="shared" si="5"/>
        <v>4.3315112258391637E-2</v>
      </c>
      <c r="V45">
        <v>-4.1939999999999998E-2</v>
      </c>
      <c r="W45">
        <v>0</v>
      </c>
      <c r="X45">
        <v>187.37889999999999</v>
      </c>
      <c r="Y45">
        <v>-1.39168</v>
      </c>
      <c r="Z45">
        <v>3.1617099999999998</v>
      </c>
      <c r="AA45">
        <v>0.93118000000000001</v>
      </c>
      <c r="AB45">
        <v>17.564959999999999</v>
      </c>
      <c r="AC45">
        <v>271.88346000000001</v>
      </c>
      <c r="AH45">
        <v>0.5</v>
      </c>
      <c r="AI45">
        <v>0.5</v>
      </c>
      <c r="AJ45">
        <v>267.24243000000001</v>
      </c>
    </row>
    <row r="46" spans="1:36" x14ac:dyDescent="0.25">
      <c r="A46" s="1">
        <v>0.5</v>
      </c>
      <c r="B46" s="1">
        <v>0.875</v>
      </c>
      <c r="C46">
        <v>0.44208132385534599</v>
      </c>
      <c r="D46">
        <v>35.654140491476603</v>
      </c>
      <c r="E46">
        <v>23.393277027521599</v>
      </c>
      <c r="F46">
        <v>12.260863463954999</v>
      </c>
      <c r="G46">
        <v>24.521726927909999</v>
      </c>
      <c r="H46">
        <v>27.480231515506599</v>
      </c>
      <c r="I46">
        <v>17.165208849536999</v>
      </c>
      <c r="J46">
        <v>42.621321367823299</v>
      </c>
      <c r="K46">
        <v>0.24150313991003</v>
      </c>
      <c r="L46">
        <v>152.02302549664799</v>
      </c>
      <c r="M46">
        <f t="shared" si="0"/>
        <v>670.46500000000003</v>
      </c>
      <c r="N46">
        <f t="shared" si="6"/>
        <v>0.5839015811408782</v>
      </c>
      <c r="O46">
        <f t="shared" si="4"/>
        <v>1148.2500161927744</v>
      </c>
      <c r="P46">
        <v>10.471578515666801</v>
      </c>
      <c r="Q46">
        <v>4061.0507400000001</v>
      </c>
      <c r="R46">
        <f t="shared" si="2"/>
        <v>0.96279059743954487</v>
      </c>
      <c r="S46">
        <v>847.09632999999997</v>
      </c>
      <c r="T46">
        <v>0.90169999999999995</v>
      </c>
      <c r="U46">
        <f t="shared" si="5"/>
        <v>-4.4937930324967873E-2</v>
      </c>
      <c r="V46">
        <v>0.91735</v>
      </c>
      <c r="W46">
        <f t="shared" si="3"/>
        <v>-3.7464934703123905E-2</v>
      </c>
      <c r="X46">
        <v>779.50760000000002</v>
      </c>
      <c r="Y46">
        <v>-1.2989900000000001</v>
      </c>
      <c r="Z46">
        <v>3.2618299999999998</v>
      </c>
      <c r="AA46">
        <v>0.93276000000000003</v>
      </c>
      <c r="AB46">
        <v>15.37557</v>
      </c>
      <c r="AC46">
        <v>271.75153999999998</v>
      </c>
      <c r="AH46">
        <v>0.375</v>
      </c>
      <c r="AI46">
        <v>0.5</v>
      </c>
      <c r="AJ46">
        <v>267.26190000000003</v>
      </c>
    </row>
    <row r="47" spans="1:36" x14ac:dyDescent="0.25">
      <c r="A47" s="1">
        <v>0.625</v>
      </c>
      <c r="B47" s="1">
        <v>0.875</v>
      </c>
      <c r="C47">
        <v>0.47760122350995099</v>
      </c>
      <c r="D47">
        <v>33.4208398756601</v>
      </c>
      <c r="E47">
        <v>21.181278230563201</v>
      </c>
      <c r="F47">
        <v>12.239561645096799</v>
      </c>
      <c r="G47">
        <v>24.479123290193701</v>
      </c>
      <c r="H47">
        <v>25.261132112262199</v>
      </c>
      <c r="I47">
        <v>17.135386303135601</v>
      </c>
      <c r="J47">
        <v>41.9262199105655</v>
      </c>
      <c r="K47">
        <v>0.22338122902117899</v>
      </c>
      <c r="L47">
        <v>154.322111743882</v>
      </c>
      <c r="M47">
        <f t="shared" si="0"/>
        <v>659.85500000000002</v>
      </c>
      <c r="N47">
        <f t="shared" si="6"/>
        <v>0.57194170890205664</v>
      </c>
      <c r="O47">
        <f t="shared" si="4"/>
        <v>1153.7102290838493</v>
      </c>
      <c r="P47">
        <v>10.4881505907176</v>
      </c>
      <c r="Q47">
        <v>3957.3902400000002</v>
      </c>
      <c r="R47">
        <f t="shared" si="2"/>
        <v>0.93821485064011378</v>
      </c>
      <c r="S47">
        <v>686.56710999999996</v>
      </c>
      <c r="T47">
        <v>1.0638099999999999</v>
      </c>
      <c r="U47">
        <f t="shared" si="5"/>
        <v>2.6864068447812719E-2</v>
      </c>
      <c r="V47">
        <v>0.30619000000000002</v>
      </c>
      <c r="W47">
        <f t="shared" si="3"/>
        <v>-0.51400899722932336</v>
      </c>
      <c r="X47">
        <v>659.92510000000004</v>
      </c>
      <c r="Y47">
        <v>-1.2716400000000001</v>
      </c>
      <c r="Z47">
        <v>3.3439999999999999</v>
      </c>
      <c r="AA47">
        <v>0.95381000000000005</v>
      </c>
      <c r="AB47">
        <v>13.53608</v>
      </c>
      <c r="AC47">
        <v>270.61081999999999</v>
      </c>
      <c r="AH47">
        <v>0.25</v>
      </c>
      <c r="AI47">
        <v>0.5</v>
      </c>
      <c r="AJ47">
        <v>266.56605000000002</v>
      </c>
    </row>
    <row r="48" spans="1:36" x14ac:dyDescent="0.25">
      <c r="A48" s="1">
        <v>0.75</v>
      </c>
      <c r="B48" s="1">
        <v>0.875</v>
      </c>
      <c r="C48">
        <v>0.38216613243987102</v>
      </c>
      <c r="D48">
        <v>31.856516409786099</v>
      </c>
      <c r="E48">
        <v>20.128899252799901</v>
      </c>
      <c r="F48">
        <v>11.7276171569862</v>
      </c>
      <c r="G48">
        <v>23.455234313972401</v>
      </c>
      <c r="H48">
        <v>24.038104971795299</v>
      </c>
      <c r="I48">
        <v>16.418664019780699</v>
      </c>
      <c r="J48">
        <v>40.121344221776901</v>
      </c>
      <c r="K48">
        <v>0.221821220454964</v>
      </c>
      <c r="L48">
        <v>154.516360491629</v>
      </c>
      <c r="M48">
        <f t="shared" si="0"/>
        <v>649.245</v>
      </c>
      <c r="N48">
        <f t="shared" si="6"/>
        <v>0.56048179844997204</v>
      </c>
      <c r="O48">
        <f t="shared" si="4"/>
        <v>1158.3694631931046</v>
      </c>
      <c r="P48">
        <v>10.5022503512114</v>
      </c>
      <c r="Q48">
        <v>3392.8171000000002</v>
      </c>
      <c r="R48">
        <f t="shared" si="2"/>
        <v>0.80436631104789003</v>
      </c>
      <c r="S48">
        <v>809.53303000000005</v>
      </c>
      <c r="T48">
        <v>1.0139</v>
      </c>
      <c r="U48">
        <f t="shared" si="5"/>
        <v>5.9951230546912851E-3</v>
      </c>
      <c r="V48">
        <v>0.45495999999999998</v>
      </c>
      <c r="W48">
        <f t="shared" si="3"/>
        <v>-0.34202678475588888</v>
      </c>
      <c r="X48">
        <v>582.34209999999996</v>
      </c>
      <c r="Y48">
        <v>-1.2265600000000001</v>
      </c>
      <c r="Z48">
        <v>3.48034</v>
      </c>
      <c r="AA48">
        <v>0.98306000000000004</v>
      </c>
      <c r="AB48">
        <v>11.015700000000001</v>
      </c>
      <c r="AC48">
        <v>269.98901999999998</v>
      </c>
      <c r="AH48">
        <v>0.125</v>
      </c>
      <c r="AI48">
        <v>0.5</v>
      </c>
      <c r="AJ48">
        <v>266.3809</v>
      </c>
    </row>
    <row r="49" spans="1:36" x14ac:dyDescent="0.25">
      <c r="A49" s="1">
        <v>0.875</v>
      </c>
      <c r="B49" s="1">
        <v>0.875</v>
      </c>
      <c r="C49">
        <v>0.27821845347277002</v>
      </c>
      <c r="D49">
        <v>30.627082320874699</v>
      </c>
      <c r="E49">
        <v>18.751319077264199</v>
      </c>
      <c r="F49">
        <v>11.8757632436104</v>
      </c>
      <c r="G49">
        <v>23.7515264872209</v>
      </c>
      <c r="H49">
        <v>22.7099068251344</v>
      </c>
      <c r="I49">
        <v>16.6260685410546</v>
      </c>
      <c r="J49">
        <v>40.093877319235197</v>
      </c>
      <c r="K49">
        <v>0.20575339925465899</v>
      </c>
      <c r="L49">
        <v>158.45908174993301</v>
      </c>
      <c r="M49">
        <f t="shared" si="0"/>
        <v>638.63499999999999</v>
      </c>
      <c r="N49">
        <f t="shared" si="6"/>
        <v>0.54861986219081027</v>
      </c>
      <c r="O49">
        <f t="shared" si="4"/>
        <v>1164.0756086550189</v>
      </c>
      <c r="P49">
        <v>10.519466860409</v>
      </c>
      <c r="Q49">
        <v>3251.2958199999998</v>
      </c>
      <c r="R49">
        <f t="shared" si="2"/>
        <v>0.77081456140350868</v>
      </c>
      <c r="S49">
        <v>776.85114999999996</v>
      </c>
      <c r="T49">
        <v>0.75558999999999998</v>
      </c>
      <c r="U49">
        <f t="shared" si="5"/>
        <v>-0.12171379846534124</v>
      </c>
      <c r="V49">
        <v>1.2816799999999999</v>
      </c>
      <c r="W49">
        <f t="shared" si="3"/>
        <v>0.107779607412304</v>
      </c>
      <c r="X49">
        <v>634.51670000000001</v>
      </c>
      <c r="Y49">
        <v>-1.2005699999999999</v>
      </c>
      <c r="Z49">
        <v>3.4944000000000002</v>
      </c>
      <c r="AA49">
        <v>0.96831</v>
      </c>
      <c r="AB49">
        <v>9.4344800000000006</v>
      </c>
      <c r="AC49">
        <v>269.08776</v>
      </c>
    </row>
    <row r="50" spans="1:36" x14ac:dyDescent="0.25">
      <c r="A50" s="1"/>
      <c r="B50" s="1"/>
      <c r="AH50" t="s">
        <v>33</v>
      </c>
      <c r="AI50" t="s">
        <v>33</v>
      </c>
      <c r="AJ50" t="s">
        <v>33</v>
      </c>
    </row>
    <row r="51" spans="1:36" x14ac:dyDescent="0.25">
      <c r="A51" s="1"/>
      <c r="B51" s="1"/>
    </row>
    <row r="52" spans="1:36" x14ac:dyDescent="0.25">
      <c r="A52" s="1"/>
      <c r="B52" s="1"/>
    </row>
    <row r="53" spans="1:36" x14ac:dyDescent="0.25">
      <c r="A53" s="1"/>
      <c r="B53" s="1"/>
      <c r="AH53">
        <v>0.75</v>
      </c>
      <c r="AI53">
        <v>0.375</v>
      </c>
      <c r="AJ53">
        <v>268.74167</v>
      </c>
    </row>
    <row r="54" spans="1:36" x14ac:dyDescent="0.25">
      <c r="A54" s="1"/>
      <c r="B54" s="1"/>
      <c r="Q54" s="2"/>
      <c r="AH54">
        <v>0.625</v>
      </c>
      <c r="AI54">
        <v>0.375</v>
      </c>
      <c r="AJ54">
        <v>268.25889999999998</v>
      </c>
    </row>
    <row r="55" spans="1:36" x14ac:dyDescent="0.25">
      <c r="A55" s="1"/>
      <c r="B55" s="1"/>
      <c r="AH55">
        <v>0.5</v>
      </c>
      <c r="AI55">
        <v>0.375</v>
      </c>
      <c r="AJ55">
        <v>267.90865000000002</v>
      </c>
    </row>
    <row r="56" spans="1:36" x14ac:dyDescent="0.25">
      <c r="A56" s="1"/>
      <c r="B56" s="1"/>
      <c r="AH56">
        <v>0.375</v>
      </c>
      <c r="AI56">
        <v>0.375</v>
      </c>
      <c r="AJ56">
        <v>267.26463999999999</v>
      </c>
    </row>
    <row r="57" spans="1:36" x14ac:dyDescent="0.25">
      <c r="A57" s="1"/>
      <c r="B57" s="1"/>
      <c r="AH57">
        <v>0.25</v>
      </c>
      <c r="AI57">
        <v>0.375</v>
      </c>
      <c r="AJ57">
        <v>268.17711000000003</v>
      </c>
    </row>
    <row r="58" spans="1:36" x14ac:dyDescent="0.25">
      <c r="AH58">
        <v>0.125</v>
      </c>
      <c r="AI58">
        <v>0.375</v>
      </c>
      <c r="AJ58">
        <v>267.30459999999999</v>
      </c>
    </row>
    <row r="60" spans="1:36" x14ac:dyDescent="0.25">
      <c r="AH60" t="s">
        <v>33</v>
      </c>
      <c r="AI60" t="s">
        <v>33</v>
      </c>
      <c r="AJ60" t="s">
        <v>33</v>
      </c>
    </row>
    <row r="63" spans="1:36" x14ac:dyDescent="0.25">
      <c r="AH63">
        <v>0.75</v>
      </c>
      <c r="AI63">
        <v>0.25</v>
      </c>
      <c r="AJ63">
        <v>271.13986</v>
      </c>
    </row>
    <row r="64" spans="1:36" x14ac:dyDescent="0.25">
      <c r="AH64">
        <v>0.625</v>
      </c>
      <c r="AI64">
        <v>0.25</v>
      </c>
      <c r="AJ64">
        <v>271.95528000000002</v>
      </c>
    </row>
    <row r="65" spans="34:36" x14ac:dyDescent="0.25">
      <c r="AH65">
        <v>0.5</v>
      </c>
      <c r="AI65">
        <v>0.25</v>
      </c>
      <c r="AJ65">
        <v>271.62963000000002</v>
      </c>
    </row>
    <row r="66" spans="34:36" x14ac:dyDescent="0.25">
      <c r="AH66">
        <v>0.375</v>
      </c>
      <c r="AI66">
        <v>0.25</v>
      </c>
      <c r="AJ66">
        <v>269.31412999999998</v>
      </c>
    </row>
    <row r="67" spans="34:36" x14ac:dyDescent="0.25">
      <c r="AH67">
        <v>0.25</v>
      </c>
      <c r="AI67">
        <v>0.25</v>
      </c>
      <c r="AJ67">
        <v>269.61374999999998</v>
      </c>
    </row>
    <row r="68" spans="34:36" x14ac:dyDescent="0.25">
      <c r="AH68">
        <v>0.125</v>
      </c>
      <c r="AI68">
        <v>0.25</v>
      </c>
      <c r="AJ68">
        <v>268.41951999999998</v>
      </c>
    </row>
    <row r="70" spans="34:36" x14ac:dyDescent="0.25">
      <c r="AH70" t="s">
        <v>33</v>
      </c>
      <c r="AI70" t="s">
        <v>33</v>
      </c>
      <c r="AJ70" t="s">
        <v>33</v>
      </c>
    </row>
    <row r="73" spans="34:36" x14ac:dyDescent="0.25">
      <c r="AH73">
        <v>0.75</v>
      </c>
      <c r="AI73">
        <v>0.125</v>
      </c>
      <c r="AJ73">
        <v>271.94817</v>
      </c>
    </row>
    <row r="74" spans="34:36" x14ac:dyDescent="0.25">
      <c r="AH74">
        <v>0.625</v>
      </c>
      <c r="AI74">
        <v>0.125</v>
      </c>
      <c r="AJ74">
        <v>271.88346000000001</v>
      </c>
    </row>
    <row r="75" spans="34:36" x14ac:dyDescent="0.25">
      <c r="AH75">
        <v>0.5</v>
      </c>
      <c r="AI75">
        <v>0.125</v>
      </c>
      <c r="AJ75">
        <v>271.75153999999998</v>
      </c>
    </row>
    <row r="76" spans="34:36" x14ac:dyDescent="0.25">
      <c r="AH76">
        <v>0.375</v>
      </c>
      <c r="AI76">
        <v>0.125</v>
      </c>
      <c r="AJ76">
        <v>270.61081999999999</v>
      </c>
    </row>
    <row r="77" spans="34:36" x14ac:dyDescent="0.25">
      <c r="AH77">
        <v>0.25</v>
      </c>
      <c r="AI77">
        <v>0.125</v>
      </c>
      <c r="AJ77">
        <v>269.98901999999998</v>
      </c>
    </row>
    <row r="78" spans="34:36" x14ac:dyDescent="0.25">
      <c r="AH78">
        <v>0.125</v>
      </c>
      <c r="AI78">
        <v>0.125</v>
      </c>
      <c r="AJ78">
        <v>269.08776</v>
      </c>
    </row>
    <row r="80" spans="34:36" x14ac:dyDescent="0.25">
      <c r="AH80" t="s">
        <v>33</v>
      </c>
      <c r="AI80" t="s">
        <v>33</v>
      </c>
      <c r="AJ80" t="s">
        <v>33</v>
      </c>
    </row>
  </sheetData>
  <conditionalFormatting sqref="Q1:S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81B6-069F-46F8-AB52-ED53E28A1681}">
  <dimension ref="B2:AX92"/>
  <sheetViews>
    <sheetView topLeftCell="AJ24" workbookViewId="0">
      <selection activeCell="AQ29" sqref="AQ29:AQ92"/>
    </sheetView>
  </sheetViews>
  <sheetFormatPr defaultRowHeight="15" x14ac:dyDescent="0.25"/>
  <sheetData>
    <row r="2" spans="2:50" x14ac:dyDescent="0.25">
      <c r="B2">
        <v>0.75558999999999998</v>
      </c>
      <c r="C2">
        <v>0.41889999999999999</v>
      </c>
      <c r="D2">
        <v>0.23468</v>
      </c>
      <c r="E2">
        <v>0.25557000000000002</v>
      </c>
      <c r="F2">
        <v>0.27167000000000002</v>
      </c>
      <c r="G2">
        <v>0.27290999999999999</v>
      </c>
      <c r="H2">
        <v>0.27218999999999999</v>
      </c>
      <c r="I2">
        <v>0.23522000000000001</v>
      </c>
      <c r="L2">
        <v>776.85114999999996</v>
      </c>
      <c r="M2">
        <v>665.73812999999996</v>
      </c>
      <c r="N2">
        <v>685.50135</v>
      </c>
      <c r="O2">
        <v>697.70965000000001</v>
      </c>
      <c r="P2">
        <v>621.17799000000002</v>
      </c>
      <c r="Q2">
        <v>471.85120999999998</v>
      </c>
      <c r="R2">
        <v>267.79055</v>
      </c>
      <c r="S2">
        <v>122.58736</v>
      </c>
      <c r="V2">
        <v>1.2816799999999999</v>
      </c>
      <c r="W2">
        <v>1.63561</v>
      </c>
      <c r="X2">
        <v>1.7173700000000001</v>
      </c>
      <c r="Y2">
        <v>1.58222</v>
      </c>
      <c r="Z2">
        <v>1.37429</v>
      </c>
      <c r="AA2">
        <v>2.0098699999999998</v>
      </c>
      <c r="AB2">
        <v>3.6878199999999999</v>
      </c>
      <c r="AC2">
        <v>7.2149799999999997</v>
      </c>
      <c r="AG2">
        <v>-1.8468599999999999</v>
      </c>
      <c r="AH2">
        <v>-1.6582399999999999</v>
      </c>
      <c r="AI2">
        <v>-1.54332</v>
      </c>
      <c r="AJ2">
        <v>-1.39168</v>
      </c>
      <c r="AK2">
        <v>-1.2989900000000001</v>
      </c>
      <c r="AL2">
        <v>-1.2716400000000001</v>
      </c>
      <c r="AM2">
        <v>-1.2265600000000001</v>
      </c>
      <c r="AN2">
        <v>-1.2005699999999999</v>
      </c>
      <c r="AQ2">
        <v>3.08</v>
      </c>
      <c r="AR2">
        <v>3.0508000000000002</v>
      </c>
      <c r="AS2">
        <v>3.1896599999999999</v>
      </c>
      <c r="AT2">
        <v>3.1617099999999998</v>
      </c>
      <c r="AU2">
        <v>3.2618299999999998</v>
      </c>
      <c r="AV2">
        <v>3.3439999999999999</v>
      </c>
      <c r="AW2">
        <v>3.48034</v>
      </c>
      <c r="AX2">
        <v>3.4944000000000002</v>
      </c>
    </row>
    <row r="3" spans="2:50" x14ac:dyDescent="0.25">
      <c r="B3">
        <v>1.0613900000000001</v>
      </c>
      <c r="C3">
        <v>0.42304999999999998</v>
      </c>
      <c r="D3">
        <v>0.22539999999999999</v>
      </c>
      <c r="E3">
        <v>0.30204999999999999</v>
      </c>
      <c r="F3">
        <v>0.26444000000000001</v>
      </c>
      <c r="G3">
        <v>0.19295999999999999</v>
      </c>
      <c r="H3">
        <v>0.27509</v>
      </c>
      <c r="I3">
        <v>0.31389</v>
      </c>
      <c r="L3">
        <v>809.53303000000005</v>
      </c>
      <c r="M3">
        <v>647.74284999999998</v>
      </c>
      <c r="N3">
        <v>531.88058999999998</v>
      </c>
      <c r="O3">
        <v>396.43331999999998</v>
      </c>
      <c r="P3">
        <v>377.64134000000001</v>
      </c>
      <c r="Q3">
        <v>336.70073000000002</v>
      </c>
      <c r="R3">
        <v>164.06939</v>
      </c>
      <c r="S3">
        <v>131.37917999999999</v>
      </c>
      <c r="V3">
        <v>0.45495999999999998</v>
      </c>
      <c r="W3">
        <v>1.28738</v>
      </c>
      <c r="X3">
        <v>1.8193900000000001</v>
      </c>
      <c r="Y3">
        <v>2.08466</v>
      </c>
      <c r="Z3">
        <v>2.0263300000000002</v>
      </c>
      <c r="AA3">
        <v>2.95363</v>
      </c>
      <c r="AB3">
        <v>6.41852</v>
      </c>
      <c r="AC3">
        <v>7.4848400000000002</v>
      </c>
      <c r="AG3">
        <v>-1.29735</v>
      </c>
      <c r="AH3">
        <v>-1.2748999999999999</v>
      </c>
      <c r="AI3">
        <v>-1.15665</v>
      </c>
      <c r="AJ3">
        <v>-1.01677</v>
      </c>
      <c r="AK3">
        <v>-0.88144999999999996</v>
      </c>
      <c r="AL3">
        <v>-0.75377000000000005</v>
      </c>
      <c r="AM3">
        <v>-0.65737999999999996</v>
      </c>
      <c r="AN3">
        <v>-0.61351999999999995</v>
      </c>
      <c r="AQ3">
        <v>2.3185699999999998</v>
      </c>
      <c r="AR3">
        <v>2.4690300000000001</v>
      </c>
      <c r="AS3">
        <v>2.54914</v>
      </c>
      <c r="AT3">
        <v>2.56941</v>
      </c>
      <c r="AU3">
        <v>2.61754</v>
      </c>
      <c r="AV3">
        <v>2.6070700000000002</v>
      </c>
      <c r="AW3">
        <v>2.5872899999999999</v>
      </c>
      <c r="AX3">
        <v>2.59592</v>
      </c>
    </row>
    <row r="4" spans="2:50" x14ac:dyDescent="0.25">
      <c r="B4">
        <v>1.0638099999999999</v>
      </c>
      <c r="C4">
        <v>0.62412000000000001</v>
      </c>
      <c r="D4">
        <v>0.40487000000000001</v>
      </c>
      <c r="E4">
        <v>0.41686000000000001</v>
      </c>
      <c r="F4">
        <v>0.36259000000000002</v>
      </c>
      <c r="G4">
        <v>0.28805999999999998</v>
      </c>
      <c r="H4">
        <v>0.21554000000000001</v>
      </c>
      <c r="I4">
        <v>0.23063</v>
      </c>
      <c r="L4">
        <v>686.56710999999996</v>
      </c>
      <c r="M4">
        <v>641.47145</v>
      </c>
      <c r="N4">
        <v>486.05052999999998</v>
      </c>
      <c r="O4">
        <v>291.46802000000002</v>
      </c>
      <c r="P4">
        <v>198.73838000000001</v>
      </c>
      <c r="Q4">
        <v>146.61758</v>
      </c>
      <c r="R4">
        <v>108.75859</v>
      </c>
      <c r="S4">
        <v>87.079310000000007</v>
      </c>
      <c r="V4">
        <v>0.30619000000000002</v>
      </c>
      <c r="W4">
        <v>0.91437000000000002</v>
      </c>
      <c r="X4">
        <v>1.83022</v>
      </c>
      <c r="Y4">
        <v>2.9925999999999999</v>
      </c>
      <c r="Z4">
        <v>4.7279</v>
      </c>
      <c r="AA4">
        <v>6.5908100000000003</v>
      </c>
      <c r="AB4">
        <v>9.1038899999999998</v>
      </c>
      <c r="AC4">
        <v>11.32648</v>
      </c>
      <c r="AG4">
        <v>-1.2040200000000001</v>
      </c>
      <c r="AH4">
        <v>-1.1873800000000001</v>
      </c>
      <c r="AI4">
        <v>-1.0725100000000001</v>
      </c>
      <c r="AJ4">
        <v>-0.92081000000000002</v>
      </c>
      <c r="AK4">
        <v>-0.75036000000000003</v>
      </c>
      <c r="AL4">
        <v>-0.56540000000000001</v>
      </c>
      <c r="AM4">
        <v>-0.45230999999999999</v>
      </c>
      <c r="AN4">
        <v>-0.35132000000000002</v>
      </c>
      <c r="AQ4">
        <v>2.0655399999999999</v>
      </c>
      <c r="AR4">
        <v>2.2173699999999998</v>
      </c>
      <c r="AS4">
        <v>2.3565800000000001</v>
      </c>
      <c r="AT4">
        <v>2.3162699999999998</v>
      </c>
      <c r="AU4">
        <v>2.2264900000000001</v>
      </c>
      <c r="AV4">
        <v>2.1947700000000001</v>
      </c>
      <c r="AW4">
        <v>2.0562299999999998</v>
      </c>
      <c r="AX4">
        <v>1.95604</v>
      </c>
    </row>
    <row r="5" spans="2:50" x14ac:dyDescent="0.25">
      <c r="B5">
        <v>0.90169999999999995</v>
      </c>
      <c r="C5">
        <v>0.70365999999999995</v>
      </c>
      <c r="D5">
        <v>0.46126</v>
      </c>
      <c r="E5">
        <v>0.38778000000000001</v>
      </c>
      <c r="F5">
        <v>0.35904000000000003</v>
      </c>
      <c r="G5">
        <v>0.29697000000000001</v>
      </c>
      <c r="H5">
        <v>0.22539000000000001</v>
      </c>
      <c r="I5">
        <v>0.25674999999999998</v>
      </c>
      <c r="L5">
        <v>847.09632999999997</v>
      </c>
      <c r="M5">
        <v>528.31519000000003</v>
      </c>
      <c r="N5">
        <v>380.64503000000002</v>
      </c>
      <c r="O5">
        <v>218.48114000000001</v>
      </c>
      <c r="P5">
        <v>111.56149000000001</v>
      </c>
      <c r="Q5">
        <v>65.299769999999995</v>
      </c>
      <c r="R5">
        <v>52.012869999999999</v>
      </c>
      <c r="S5">
        <v>40.396000000000001</v>
      </c>
      <c r="V5">
        <v>0.91735</v>
      </c>
      <c r="W5">
        <v>1.76807</v>
      </c>
      <c r="X5">
        <v>2.9638100000000001</v>
      </c>
      <c r="Y5">
        <v>5.8506299999999998</v>
      </c>
      <c r="Z5">
        <v>10.693479999999999</v>
      </c>
      <c r="AA5">
        <v>13.983029999999999</v>
      </c>
      <c r="AB5">
        <v>11.75773</v>
      </c>
      <c r="AC5">
        <v>17.829740000000001</v>
      </c>
      <c r="AG5">
        <v>-0.98955000000000004</v>
      </c>
      <c r="AH5">
        <v>-0.99404000000000003</v>
      </c>
      <c r="AI5">
        <v>-0.92684999999999995</v>
      </c>
      <c r="AJ5">
        <v>-0.76881999999999995</v>
      </c>
      <c r="AK5">
        <v>-0.61721000000000004</v>
      </c>
      <c r="AL5">
        <v>-0.55179999999999996</v>
      </c>
      <c r="AM5">
        <v>-0.41453000000000001</v>
      </c>
      <c r="AN5">
        <v>-0.31287999999999999</v>
      </c>
      <c r="AQ5">
        <v>1.67554</v>
      </c>
      <c r="AR5">
        <v>1.91726</v>
      </c>
      <c r="AS5">
        <v>2.0965600000000002</v>
      </c>
      <c r="AT5">
        <v>2.12297</v>
      </c>
      <c r="AU5">
        <v>1.9777400000000001</v>
      </c>
      <c r="AV5">
        <v>2.0844900000000002</v>
      </c>
      <c r="AW5">
        <v>2.0220500000000001</v>
      </c>
      <c r="AX5">
        <v>1.9234100000000001</v>
      </c>
    </row>
    <row r="6" spans="2:50" x14ac:dyDescent="0.25">
      <c r="B6">
        <v>1.1048800000000001</v>
      </c>
      <c r="C6">
        <v>0.73102</v>
      </c>
      <c r="D6">
        <v>0.4491</v>
      </c>
      <c r="E6">
        <v>0.34745999999999999</v>
      </c>
      <c r="F6">
        <v>0.32362999999999997</v>
      </c>
      <c r="G6">
        <v>0.29133999999999999</v>
      </c>
      <c r="H6">
        <v>0.17574999999999999</v>
      </c>
      <c r="I6">
        <v>0.24585000000000001</v>
      </c>
      <c r="L6">
        <v>650.47640000000001</v>
      </c>
      <c r="M6">
        <v>444.72037</v>
      </c>
      <c r="N6">
        <v>301.79347000000001</v>
      </c>
      <c r="O6">
        <v>143.82884000000001</v>
      </c>
      <c r="P6">
        <v>58.185839999999999</v>
      </c>
      <c r="Q6">
        <v>28.857030000000002</v>
      </c>
      <c r="R6">
        <v>24.10887</v>
      </c>
      <c r="S6">
        <v>17.188960000000002</v>
      </c>
      <c r="V6">
        <v>-4.1939999999999998E-2</v>
      </c>
      <c r="W6">
        <v>0.87331000000000003</v>
      </c>
      <c r="X6">
        <v>1.8183499999999999</v>
      </c>
      <c r="Y6">
        <v>5.5126299999999997</v>
      </c>
      <c r="Z6">
        <v>14.318199999999999</v>
      </c>
      <c r="AA6">
        <v>31.78959</v>
      </c>
      <c r="AB6">
        <v>46.750340000000001</v>
      </c>
      <c r="AC6">
        <v>69.549809999999994</v>
      </c>
      <c r="AG6">
        <v>-0.89351000000000003</v>
      </c>
      <c r="AH6">
        <v>-0.86626999999999998</v>
      </c>
      <c r="AI6">
        <v>-0.79498999999999997</v>
      </c>
      <c r="AJ6">
        <v>-0.65325999999999995</v>
      </c>
      <c r="AK6">
        <v>-0.50853999999999999</v>
      </c>
      <c r="AL6">
        <v>-0.44227</v>
      </c>
      <c r="AM6">
        <v>-0.29444999999999999</v>
      </c>
      <c r="AN6">
        <v>-0.21884000000000001</v>
      </c>
      <c r="AQ6">
        <v>1.4158900000000001</v>
      </c>
      <c r="AR6">
        <v>1.6980599999999999</v>
      </c>
      <c r="AS6">
        <v>1.8776200000000001</v>
      </c>
      <c r="AT6">
        <v>1.8661300000000001</v>
      </c>
      <c r="AU6">
        <v>1.70069</v>
      </c>
      <c r="AV6">
        <v>1.86395</v>
      </c>
      <c r="AW6">
        <v>1.7624200000000001</v>
      </c>
      <c r="AX6">
        <v>1.8435600000000001</v>
      </c>
    </row>
    <row r="7" spans="2:50" x14ac:dyDescent="0.25">
      <c r="B7">
        <v>1.2987899999999999</v>
      </c>
      <c r="C7">
        <v>0.88426000000000005</v>
      </c>
      <c r="D7">
        <v>0.56935000000000002</v>
      </c>
      <c r="E7">
        <v>0.41097</v>
      </c>
      <c r="F7">
        <v>0.29971999999999999</v>
      </c>
      <c r="G7">
        <v>0.22652</v>
      </c>
      <c r="H7">
        <v>0.23701</v>
      </c>
      <c r="I7" s="2">
        <v>-9.9374600000000006E-8</v>
      </c>
      <c r="L7">
        <v>550.33307000000002</v>
      </c>
      <c r="M7">
        <v>392.20105000000001</v>
      </c>
      <c r="N7">
        <v>248.61098999999999</v>
      </c>
      <c r="O7">
        <v>102.58417</v>
      </c>
      <c r="P7">
        <v>38.14273</v>
      </c>
      <c r="Q7">
        <v>21.1172</v>
      </c>
      <c r="R7">
        <v>8.1926600000000001</v>
      </c>
      <c r="S7">
        <v>4.9999799999999999</v>
      </c>
      <c r="V7">
        <v>0.43767</v>
      </c>
      <c r="W7">
        <v>1.6360600000000001</v>
      </c>
      <c r="X7">
        <v>4.5515400000000001</v>
      </c>
      <c r="Y7">
        <v>9.4444099999999995</v>
      </c>
      <c r="Z7">
        <v>19.39723</v>
      </c>
      <c r="AA7">
        <v>46.839849999999998</v>
      </c>
      <c r="AB7">
        <v>124.82344000000001</v>
      </c>
      <c r="AC7">
        <v>200.00004000000001</v>
      </c>
      <c r="AG7">
        <v>-0.86126000000000003</v>
      </c>
      <c r="AH7">
        <v>-0.82430000000000003</v>
      </c>
      <c r="AI7">
        <v>-0.77717000000000003</v>
      </c>
      <c r="AJ7">
        <v>-0.63109000000000004</v>
      </c>
      <c r="AK7">
        <v>-0.43529000000000001</v>
      </c>
      <c r="AL7">
        <v>-0.36274000000000001</v>
      </c>
      <c r="AM7">
        <v>-0.21933</v>
      </c>
      <c r="AN7">
        <v>-0.20591000000000001</v>
      </c>
      <c r="AQ7">
        <v>1.2357100000000001</v>
      </c>
      <c r="AR7">
        <v>1.56694</v>
      </c>
      <c r="AS7">
        <v>1.78111</v>
      </c>
      <c r="AT7">
        <v>1.8231200000000001</v>
      </c>
      <c r="AU7">
        <v>1.56399</v>
      </c>
      <c r="AV7">
        <v>1.73441</v>
      </c>
      <c r="AW7">
        <v>1.7330000000000001</v>
      </c>
      <c r="AX7">
        <v>1.8416300000000001</v>
      </c>
    </row>
    <row r="8" spans="2:50" x14ac:dyDescent="0.25">
      <c r="AG8">
        <v>-0.84797</v>
      </c>
      <c r="AH8">
        <v>-0.81601000000000001</v>
      </c>
      <c r="AI8">
        <v>-0.71408000000000005</v>
      </c>
      <c r="AJ8">
        <v>-0.58794999999999997</v>
      </c>
      <c r="AK8">
        <v>-0.31811</v>
      </c>
      <c r="AL8">
        <v>-0.21282999999999999</v>
      </c>
      <c r="AM8">
        <v>-0.17951</v>
      </c>
      <c r="AN8">
        <v>-8.9679999999999996E-2</v>
      </c>
      <c r="AQ8">
        <v>1.0845100000000001</v>
      </c>
      <c r="AR8">
        <v>1.41774</v>
      </c>
      <c r="AS8">
        <v>1.7987299999999999</v>
      </c>
      <c r="AT8">
        <v>1.7449399999999999</v>
      </c>
      <c r="AU8">
        <v>1.5529900000000001</v>
      </c>
      <c r="AV8">
        <v>1.5505899999999999</v>
      </c>
      <c r="AW8">
        <v>1.6923999999999999</v>
      </c>
      <c r="AX8">
        <v>1.8265800000000001</v>
      </c>
    </row>
    <row r="9" spans="2:50" x14ac:dyDescent="0.25">
      <c r="B9">
        <v>1.2987899999999999</v>
      </c>
      <c r="C9">
        <v>0.88426000000000005</v>
      </c>
      <c r="D9">
        <v>0.56935000000000002</v>
      </c>
      <c r="E9">
        <v>0.41097</v>
      </c>
      <c r="F9">
        <v>0.29971999999999999</v>
      </c>
      <c r="G9">
        <v>0.22652</v>
      </c>
      <c r="H9">
        <v>0.23701</v>
      </c>
      <c r="I9">
        <v>0</v>
      </c>
      <c r="L9">
        <f>L7</f>
        <v>550.33307000000002</v>
      </c>
      <c r="M9">
        <f t="shared" ref="M9:S9" si="0">M7</f>
        <v>392.20105000000001</v>
      </c>
      <c r="N9">
        <f t="shared" si="0"/>
        <v>248.61098999999999</v>
      </c>
      <c r="O9">
        <f t="shared" si="0"/>
        <v>102.58417</v>
      </c>
      <c r="P9">
        <f t="shared" si="0"/>
        <v>38.14273</v>
      </c>
      <c r="Q9">
        <f t="shared" si="0"/>
        <v>21.1172</v>
      </c>
      <c r="R9">
        <f t="shared" si="0"/>
        <v>8.1926600000000001</v>
      </c>
      <c r="S9">
        <f t="shared" si="0"/>
        <v>4.9999799999999999</v>
      </c>
      <c r="V9">
        <f>V7</f>
        <v>0.43767</v>
      </c>
      <c r="W9">
        <f t="shared" ref="W9:AC9" si="1">W7</f>
        <v>1.6360600000000001</v>
      </c>
      <c r="X9">
        <f t="shared" si="1"/>
        <v>4.5515400000000001</v>
      </c>
      <c r="Y9">
        <f t="shared" si="1"/>
        <v>9.4444099999999995</v>
      </c>
      <c r="Z9">
        <f t="shared" si="1"/>
        <v>19.39723</v>
      </c>
      <c r="AA9">
        <f t="shared" si="1"/>
        <v>46.839849999999998</v>
      </c>
      <c r="AB9">
        <f t="shared" si="1"/>
        <v>124.82344000000001</v>
      </c>
      <c r="AC9">
        <f t="shared" si="1"/>
        <v>200.00004000000001</v>
      </c>
      <c r="AG9">
        <v>-0.85536999999999996</v>
      </c>
      <c r="AH9">
        <v>-0.81943999999999995</v>
      </c>
      <c r="AI9">
        <v>-0.69306999999999996</v>
      </c>
      <c r="AJ9">
        <v>-0.53591</v>
      </c>
      <c r="AK9">
        <v>-0.26489000000000001</v>
      </c>
      <c r="AL9">
        <v>-0.14834</v>
      </c>
      <c r="AM9">
        <v>-0.11409</v>
      </c>
      <c r="AN9">
        <v>-5.6980000000000003E-2</v>
      </c>
      <c r="AQ9">
        <v>0.9244</v>
      </c>
      <c r="AR9">
        <v>1.28884</v>
      </c>
      <c r="AS9">
        <v>1.78182</v>
      </c>
      <c r="AT9">
        <v>1.69099</v>
      </c>
      <c r="AU9">
        <v>1.3596600000000001</v>
      </c>
      <c r="AV9">
        <v>1.45211</v>
      </c>
      <c r="AW9">
        <v>1.6106499999999999</v>
      </c>
      <c r="AX9">
        <v>1.7457800000000001</v>
      </c>
    </row>
    <row r="10" spans="2:50" x14ac:dyDescent="0.25">
      <c r="B10">
        <v>1.1048800000000001</v>
      </c>
      <c r="C10">
        <v>0.73102</v>
      </c>
      <c r="D10">
        <v>0.4491</v>
      </c>
      <c r="E10">
        <v>0.34745999999999999</v>
      </c>
      <c r="F10">
        <v>0.32362999999999997</v>
      </c>
      <c r="G10">
        <v>0.29133999999999999</v>
      </c>
      <c r="H10">
        <v>0.17574999999999999</v>
      </c>
      <c r="I10">
        <v>0.24585000000000001</v>
      </c>
      <c r="L10">
        <f>L6</f>
        <v>650.47640000000001</v>
      </c>
      <c r="M10">
        <f t="shared" ref="M10:S10" si="2">M6</f>
        <v>444.72037</v>
      </c>
      <c r="N10">
        <f t="shared" si="2"/>
        <v>301.79347000000001</v>
      </c>
      <c r="O10">
        <f t="shared" si="2"/>
        <v>143.82884000000001</v>
      </c>
      <c r="P10">
        <f t="shared" si="2"/>
        <v>58.185839999999999</v>
      </c>
      <c r="Q10">
        <f t="shared" si="2"/>
        <v>28.857030000000002</v>
      </c>
      <c r="R10">
        <f t="shared" si="2"/>
        <v>24.10887</v>
      </c>
      <c r="S10">
        <f t="shared" si="2"/>
        <v>17.188960000000002</v>
      </c>
      <c r="V10">
        <f>V6</f>
        <v>-4.1939999999999998E-2</v>
      </c>
      <c r="W10">
        <f t="shared" ref="W10:AC10" si="3">W6</f>
        <v>0.87331000000000003</v>
      </c>
      <c r="X10">
        <f t="shared" si="3"/>
        <v>1.8183499999999999</v>
      </c>
      <c r="Y10">
        <f t="shared" si="3"/>
        <v>5.5126299999999997</v>
      </c>
      <c r="Z10">
        <f t="shared" si="3"/>
        <v>14.318199999999999</v>
      </c>
      <c r="AA10">
        <f t="shared" si="3"/>
        <v>31.78959</v>
      </c>
      <c r="AB10">
        <f t="shared" si="3"/>
        <v>46.750340000000001</v>
      </c>
      <c r="AC10">
        <f t="shared" si="3"/>
        <v>69.549809999999994</v>
      </c>
    </row>
    <row r="11" spans="2:50" x14ac:dyDescent="0.25">
      <c r="B11">
        <v>0.90169999999999995</v>
      </c>
      <c r="C11">
        <v>0.70365999999999995</v>
      </c>
      <c r="D11">
        <v>0.46126</v>
      </c>
      <c r="E11">
        <v>0.38778000000000001</v>
      </c>
      <c r="F11">
        <v>0.35904000000000003</v>
      </c>
      <c r="G11">
        <v>0.29697000000000001</v>
      </c>
      <c r="H11">
        <v>0.22539000000000001</v>
      </c>
      <c r="I11">
        <v>0.25674999999999998</v>
      </c>
      <c r="L11">
        <f>L5</f>
        <v>847.09632999999997</v>
      </c>
      <c r="M11">
        <f t="shared" ref="M11:S11" si="4">M5</f>
        <v>528.31519000000003</v>
      </c>
      <c r="N11">
        <f t="shared" si="4"/>
        <v>380.64503000000002</v>
      </c>
      <c r="O11">
        <f t="shared" si="4"/>
        <v>218.48114000000001</v>
      </c>
      <c r="P11">
        <f t="shared" si="4"/>
        <v>111.56149000000001</v>
      </c>
      <c r="Q11">
        <f t="shared" si="4"/>
        <v>65.299769999999995</v>
      </c>
      <c r="R11">
        <f t="shared" si="4"/>
        <v>52.012869999999999</v>
      </c>
      <c r="S11">
        <f t="shared" si="4"/>
        <v>40.396000000000001</v>
      </c>
      <c r="V11">
        <f>V5</f>
        <v>0.91735</v>
      </c>
      <c r="W11">
        <f t="shared" ref="W11:AC11" si="5">W5</f>
        <v>1.76807</v>
      </c>
      <c r="X11">
        <f t="shared" si="5"/>
        <v>2.9638100000000001</v>
      </c>
      <c r="Y11">
        <f t="shared" si="5"/>
        <v>5.8506299999999998</v>
      </c>
      <c r="Z11">
        <f t="shared" si="5"/>
        <v>10.693479999999999</v>
      </c>
      <c r="AA11">
        <f t="shared" si="5"/>
        <v>13.983029999999999</v>
      </c>
      <c r="AB11">
        <f t="shared" si="5"/>
        <v>11.75773</v>
      </c>
      <c r="AC11">
        <f t="shared" si="5"/>
        <v>17.829740000000001</v>
      </c>
      <c r="AG11">
        <f>AG9</f>
        <v>-0.85536999999999996</v>
      </c>
      <c r="AH11">
        <f t="shared" ref="AH11:AN11" si="6">AH9</f>
        <v>-0.81943999999999995</v>
      </c>
      <c r="AI11">
        <f t="shared" si="6"/>
        <v>-0.69306999999999996</v>
      </c>
      <c r="AJ11">
        <f t="shared" si="6"/>
        <v>-0.53591</v>
      </c>
      <c r="AK11">
        <f t="shared" si="6"/>
        <v>-0.26489000000000001</v>
      </c>
      <c r="AL11">
        <f t="shared" si="6"/>
        <v>-0.14834</v>
      </c>
      <c r="AM11">
        <f t="shared" si="6"/>
        <v>-0.11409</v>
      </c>
      <c r="AN11">
        <f t="shared" si="6"/>
        <v>-5.6980000000000003E-2</v>
      </c>
      <c r="AO11" t="s">
        <v>23</v>
      </c>
      <c r="AQ11">
        <f>AQ9</f>
        <v>0.9244</v>
      </c>
      <c r="AR11">
        <f t="shared" ref="AR11:AX11" si="7">AR9</f>
        <v>1.28884</v>
      </c>
      <c r="AS11">
        <f t="shared" si="7"/>
        <v>1.78182</v>
      </c>
      <c r="AT11">
        <f t="shared" si="7"/>
        <v>1.69099</v>
      </c>
      <c r="AU11">
        <f t="shared" si="7"/>
        <v>1.3596600000000001</v>
      </c>
      <c r="AV11">
        <f t="shared" si="7"/>
        <v>1.45211</v>
      </c>
      <c r="AW11">
        <f t="shared" si="7"/>
        <v>1.6106499999999999</v>
      </c>
      <c r="AX11">
        <f t="shared" si="7"/>
        <v>1.7457800000000001</v>
      </c>
    </row>
    <row r="12" spans="2:50" x14ac:dyDescent="0.25">
      <c r="B12">
        <v>1.0638099999999999</v>
      </c>
      <c r="C12">
        <v>0.62412000000000001</v>
      </c>
      <c r="D12">
        <v>0.40487000000000001</v>
      </c>
      <c r="E12">
        <v>0.41686000000000001</v>
      </c>
      <c r="F12">
        <v>0.36259000000000002</v>
      </c>
      <c r="G12">
        <v>0.28805999999999998</v>
      </c>
      <c r="H12">
        <v>0.21554000000000001</v>
      </c>
      <c r="I12">
        <v>0.23063</v>
      </c>
      <c r="L12">
        <f>L4</f>
        <v>686.56710999999996</v>
      </c>
      <c r="M12">
        <f t="shared" ref="M12:S12" si="8">M4</f>
        <v>641.47145</v>
      </c>
      <c r="N12">
        <f t="shared" si="8"/>
        <v>486.05052999999998</v>
      </c>
      <c r="O12">
        <f t="shared" si="8"/>
        <v>291.46802000000002</v>
      </c>
      <c r="P12">
        <f t="shared" si="8"/>
        <v>198.73838000000001</v>
      </c>
      <c r="Q12">
        <f t="shared" si="8"/>
        <v>146.61758</v>
      </c>
      <c r="R12">
        <f t="shared" si="8"/>
        <v>108.75859</v>
      </c>
      <c r="S12">
        <f t="shared" si="8"/>
        <v>87.079310000000007</v>
      </c>
      <c r="V12">
        <f>V4</f>
        <v>0.30619000000000002</v>
      </c>
      <c r="W12">
        <f t="shared" ref="W12:AC12" si="9">W4</f>
        <v>0.91437000000000002</v>
      </c>
      <c r="X12">
        <f t="shared" si="9"/>
        <v>1.83022</v>
      </c>
      <c r="Y12">
        <f t="shared" si="9"/>
        <v>2.9925999999999999</v>
      </c>
      <c r="Z12">
        <f t="shared" si="9"/>
        <v>4.7279</v>
      </c>
      <c r="AA12">
        <f t="shared" si="9"/>
        <v>6.5908100000000003</v>
      </c>
      <c r="AB12">
        <f t="shared" si="9"/>
        <v>9.1038899999999998</v>
      </c>
      <c r="AC12">
        <f t="shared" si="9"/>
        <v>11.32648</v>
      </c>
      <c r="AG12">
        <f>AG8</f>
        <v>-0.84797</v>
      </c>
      <c r="AH12">
        <f t="shared" ref="AH12:AN12" si="10">AH8</f>
        <v>-0.81601000000000001</v>
      </c>
      <c r="AI12">
        <f t="shared" si="10"/>
        <v>-0.71408000000000005</v>
      </c>
      <c r="AJ12">
        <f t="shared" si="10"/>
        <v>-0.58794999999999997</v>
      </c>
      <c r="AK12">
        <f t="shared" si="10"/>
        <v>-0.31811</v>
      </c>
      <c r="AL12">
        <f t="shared" si="10"/>
        <v>-0.21282999999999999</v>
      </c>
      <c r="AM12">
        <f t="shared" si="10"/>
        <v>-0.17951</v>
      </c>
      <c r="AN12">
        <f t="shared" si="10"/>
        <v>-8.9679999999999996E-2</v>
      </c>
      <c r="AQ12">
        <f>AQ8</f>
        <v>1.0845100000000001</v>
      </c>
      <c r="AR12">
        <f t="shared" ref="AR12:AX12" si="11">AR8</f>
        <v>1.41774</v>
      </c>
      <c r="AS12">
        <f t="shared" si="11"/>
        <v>1.7987299999999999</v>
      </c>
      <c r="AT12">
        <f t="shared" si="11"/>
        <v>1.7449399999999999</v>
      </c>
      <c r="AU12">
        <f t="shared" si="11"/>
        <v>1.5529900000000001</v>
      </c>
      <c r="AV12">
        <f t="shared" si="11"/>
        <v>1.5505899999999999</v>
      </c>
      <c r="AW12">
        <f t="shared" si="11"/>
        <v>1.6923999999999999</v>
      </c>
      <c r="AX12">
        <f t="shared" si="11"/>
        <v>1.8265800000000001</v>
      </c>
    </row>
    <row r="13" spans="2:50" x14ac:dyDescent="0.25">
      <c r="B13">
        <v>1.0139</v>
      </c>
      <c r="C13">
        <v>0.42304999999999998</v>
      </c>
      <c r="D13">
        <v>0.22539999999999999</v>
      </c>
      <c r="E13">
        <v>0.30204999999999999</v>
      </c>
      <c r="F13">
        <v>0.26444000000000001</v>
      </c>
      <c r="G13">
        <v>0.19295999999999999</v>
      </c>
      <c r="H13">
        <v>0.27509</v>
      </c>
      <c r="I13">
        <v>0.31389</v>
      </c>
      <c r="L13">
        <f>L3</f>
        <v>809.53303000000005</v>
      </c>
      <c r="M13">
        <f t="shared" ref="M13:S13" si="12">M3</f>
        <v>647.74284999999998</v>
      </c>
      <c r="N13">
        <f t="shared" si="12"/>
        <v>531.88058999999998</v>
      </c>
      <c r="O13">
        <f t="shared" si="12"/>
        <v>396.43331999999998</v>
      </c>
      <c r="P13">
        <f t="shared" si="12"/>
        <v>377.64134000000001</v>
      </c>
      <c r="Q13">
        <f t="shared" si="12"/>
        <v>336.70073000000002</v>
      </c>
      <c r="R13">
        <f t="shared" si="12"/>
        <v>164.06939</v>
      </c>
      <c r="S13">
        <f t="shared" si="12"/>
        <v>131.37917999999999</v>
      </c>
      <c r="V13">
        <f>V3</f>
        <v>0.45495999999999998</v>
      </c>
      <c r="W13">
        <f t="shared" ref="W13:AC13" si="13">W3</f>
        <v>1.28738</v>
      </c>
      <c r="X13">
        <f t="shared" si="13"/>
        <v>1.8193900000000001</v>
      </c>
      <c r="Y13">
        <f t="shared" si="13"/>
        <v>2.08466</v>
      </c>
      <c r="Z13">
        <f t="shared" si="13"/>
        <v>2.0263300000000002</v>
      </c>
      <c r="AA13">
        <f t="shared" si="13"/>
        <v>2.95363</v>
      </c>
      <c r="AB13">
        <f t="shared" si="13"/>
        <v>6.41852</v>
      </c>
      <c r="AC13">
        <f t="shared" si="13"/>
        <v>7.4848400000000002</v>
      </c>
      <c r="AG13">
        <f>AG7</f>
        <v>-0.86126000000000003</v>
      </c>
      <c r="AH13">
        <f t="shared" ref="AH13:AN13" si="14">AH7</f>
        <v>-0.82430000000000003</v>
      </c>
      <c r="AI13">
        <f t="shared" si="14"/>
        <v>-0.77717000000000003</v>
      </c>
      <c r="AJ13">
        <f t="shared" si="14"/>
        <v>-0.63109000000000004</v>
      </c>
      <c r="AK13">
        <f t="shared" si="14"/>
        <v>-0.43529000000000001</v>
      </c>
      <c r="AL13">
        <f t="shared" si="14"/>
        <v>-0.36274000000000001</v>
      </c>
      <c r="AM13">
        <f t="shared" si="14"/>
        <v>-0.21933</v>
      </c>
      <c r="AN13">
        <f t="shared" si="14"/>
        <v>-0.20591000000000001</v>
      </c>
      <c r="AQ13">
        <f>AQ7</f>
        <v>1.2357100000000001</v>
      </c>
      <c r="AR13">
        <f t="shared" ref="AR13:AX13" si="15">AR7</f>
        <v>1.56694</v>
      </c>
      <c r="AS13">
        <f t="shared" si="15"/>
        <v>1.78111</v>
      </c>
      <c r="AT13">
        <f t="shared" si="15"/>
        <v>1.8231200000000001</v>
      </c>
      <c r="AU13">
        <f t="shared" si="15"/>
        <v>1.56399</v>
      </c>
      <c r="AV13">
        <f t="shared" si="15"/>
        <v>1.73441</v>
      </c>
      <c r="AW13">
        <f t="shared" si="15"/>
        <v>1.7330000000000001</v>
      </c>
      <c r="AX13">
        <f t="shared" si="15"/>
        <v>1.8416300000000001</v>
      </c>
    </row>
    <row r="14" spans="2:50" x14ac:dyDescent="0.25">
      <c r="B14">
        <v>0.75558999999999998</v>
      </c>
      <c r="C14">
        <v>0.41889999999999999</v>
      </c>
      <c r="D14">
        <v>0.23468</v>
      </c>
      <c r="E14">
        <v>0.25557000000000002</v>
      </c>
      <c r="F14">
        <v>0.27167000000000002</v>
      </c>
      <c r="G14">
        <v>0.27290999999999999</v>
      </c>
      <c r="H14">
        <v>0.27218999999999999</v>
      </c>
      <c r="I14">
        <v>0.23522000000000001</v>
      </c>
      <c r="L14">
        <f>L2</f>
        <v>776.85114999999996</v>
      </c>
      <c r="M14">
        <f t="shared" ref="M14:S14" si="16">M2</f>
        <v>665.73812999999996</v>
      </c>
      <c r="N14">
        <f t="shared" si="16"/>
        <v>685.50135</v>
      </c>
      <c r="O14">
        <f t="shared" si="16"/>
        <v>697.70965000000001</v>
      </c>
      <c r="P14">
        <f t="shared" si="16"/>
        <v>621.17799000000002</v>
      </c>
      <c r="Q14">
        <f t="shared" si="16"/>
        <v>471.85120999999998</v>
      </c>
      <c r="R14">
        <f t="shared" si="16"/>
        <v>267.79055</v>
      </c>
      <c r="S14">
        <f t="shared" si="16"/>
        <v>122.58736</v>
      </c>
      <c r="V14">
        <f>V2</f>
        <v>1.2816799999999999</v>
      </c>
      <c r="W14">
        <f t="shared" ref="W14:AC14" si="17">W2</f>
        <v>1.63561</v>
      </c>
      <c r="X14">
        <f t="shared" si="17"/>
        <v>1.7173700000000001</v>
      </c>
      <c r="Y14">
        <f t="shared" si="17"/>
        <v>1.58222</v>
      </c>
      <c r="Z14">
        <f t="shared" si="17"/>
        <v>1.37429</v>
      </c>
      <c r="AA14">
        <f t="shared" si="17"/>
        <v>2.0098699999999998</v>
      </c>
      <c r="AB14">
        <f t="shared" si="17"/>
        <v>3.6878199999999999</v>
      </c>
      <c r="AC14">
        <f t="shared" si="17"/>
        <v>7.2149799999999997</v>
      </c>
      <c r="AG14">
        <f>AG6</f>
        <v>-0.89351000000000003</v>
      </c>
      <c r="AH14">
        <f t="shared" ref="AH14:AN14" si="18">AH6</f>
        <v>-0.86626999999999998</v>
      </c>
      <c r="AI14">
        <f t="shared" si="18"/>
        <v>-0.79498999999999997</v>
      </c>
      <c r="AJ14">
        <f t="shared" si="18"/>
        <v>-0.65325999999999995</v>
      </c>
      <c r="AK14">
        <f t="shared" si="18"/>
        <v>-0.50853999999999999</v>
      </c>
      <c r="AL14">
        <f t="shared" si="18"/>
        <v>-0.44227</v>
      </c>
      <c r="AM14">
        <f t="shared" si="18"/>
        <v>-0.29444999999999999</v>
      </c>
      <c r="AN14">
        <f t="shared" si="18"/>
        <v>-0.21884000000000001</v>
      </c>
      <c r="AQ14">
        <f>AQ6</f>
        <v>1.4158900000000001</v>
      </c>
      <c r="AR14">
        <f t="shared" ref="AR14:AX14" si="19">AR6</f>
        <v>1.6980599999999999</v>
      </c>
      <c r="AS14">
        <f t="shared" si="19"/>
        <v>1.8776200000000001</v>
      </c>
      <c r="AT14">
        <f t="shared" si="19"/>
        <v>1.8661300000000001</v>
      </c>
      <c r="AU14">
        <f t="shared" si="19"/>
        <v>1.70069</v>
      </c>
      <c r="AV14">
        <f t="shared" si="19"/>
        <v>1.86395</v>
      </c>
      <c r="AW14">
        <f t="shared" si="19"/>
        <v>1.7624200000000001</v>
      </c>
      <c r="AX14">
        <f t="shared" si="19"/>
        <v>1.8435600000000001</v>
      </c>
    </row>
    <row r="15" spans="2:50" x14ac:dyDescent="0.25">
      <c r="D15">
        <v>0.88426000000000005</v>
      </c>
      <c r="I15">
        <v>0.23701</v>
      </c>
      <c r="AG15">
        <f>AG5</f>
        <v>-0.98955000000000004</v>
      </c>
      <c r="AH15">
        <f t="shared" ref="AH15:AN15" si="20">AH5</f>
        <v>-0.99404000000000003</v>
      </c>
      <c r="AI15">
        <f t="shared" si="20"/>
        <v>-0.92684999999999995</v>
      </c>
      <c r="AJ15">
        <f t="shared" si="20"/>
        <v>-0.76881999999999995</v>
      </c>
      <c r="AK15">
        <f t="shared" si="20"/>
        <v>-0.61721000000000004</v>
      </c>
      <c r="AL15">
        <f t="shared" si="20"/>
        <v>-0.55179999999999996</v>
      </c>
      <c r="AM15">
        <f t="shared" si="20"/>
        <v>-0.41453000000000001</v>
      </c>
      <c r="AN15">
        <f t="shared" si="20"/>
        <v>-0.31287999999999999</v>
      </c>
      <c r="AQ15">
        <f>AQ5</f>
        <v>1.67554</v>
      </c>
      <c r="AR15">
        <f t="shared" ref="AR15:AX15" si="21">AR5</f>
        <v>1.91726</v>
      </c>
      <c r="AS15">
        <f t="shared" si="21"/>
        <v>2.0965600000000002</v>
      </c>
      <c r="AT15">
        <f t="shared" si="21"/>
        <v>2.12297</v>
      </c>
      <c r="AU15">
        <f t="shared" si="21"/>
        <v>1.9777400000000001</v>
      </c>
      <c r="AV15">
        <f t="shared" si="21"/>
        <v>2.0844900000000002</v>
      </c>
      <c r="AW15">
        <f t="shared" si="21"/>
        <v>2.0220500000000001</v>
      </c>
      <c r="AX15">
        <f t="shared" si="21"/>
        <v>1.9234100000000001</v>
      </c>
    </row>
    <row r="16" spans="2:50" x14ac:dyDescent="0.25">
      <c r="D16">
        <v>0.73102</v>
      </c>
      <c r="I16">
        <v>0.17574999999999999</v>
      </c>
      <c r="S16">
        <f>R9</f>
        <v>8.1926600000000001</v>
      </c>
      <c r="AC16">
        <f>AB9</f>
        <v>124.82344000000001</v>
      </c>
      <c r="AG16">
        <f>AG4</f>
        <v>-1.2040200000000001</v>
      </c>
      <c r="AH16">
        <f t="shared" ref="AH16:AN16" si="22">AH4</f>
        <v>-1.1873800000000001</v>
      </c>
      <c r="AI16">
        <f t="shared" si="22"/>
        <v>-1.0725100000000001</v>
      </c>
      <c r="AJ16">
        <f t="shared" si="22"/>
        <v>-0.92081000000000002</v>
      </c>
      <c r="AK16">
        <f t="shared" si="22"/>
        <v>-0.75036000000000003</v>
      </c>
      <c r="AL16">
        <f t="shared" si="22"/>
        <v>-0.56540000000000001</v>
      </c>
      <c r="AM16">
        <f t="shared" si="22"/>
        <v>-0.45230999999999999</v>
      </c>
      <c r="AN16">
        <f t="shared" si="22"/>
        <v>-0.35132000000000002</v>
      </c>
      <c r="AQ16">
        <f>AQ4</f>
        <v>2.0655399999999999</v>
      </c>
      <c r="AR16">
        <f t="shared" ref="AR16:AX16" si="23">AR4</f>
        <v>2.2173699999999998</v>
      </c>
      <c r="AS16">
        <f t="shared" si="23"/>
        <v>2.3565800000000001</v>
      </c>
      <c r="AT16">
        <f t="shared" si="23"/>
        <v>2.3162699999999998</v>
      </c>
      <c r="AU16">
        <f t="shared" si="23"/>
        <v>2.2264900000000001</v>
      </c>
      <c r="AV16">
        <f t="shared" si="23"/>
        <v>2.1947700000000001</v>
      </c>
      <c r="AW16">
        <f t="shared" si="23"/>
        <v>2.0562299999999998</v>
      </c>
      <c r="AX16">
        <f t="shared" si="23"/>
        <v>1.95604</v>
      </c>
    </row>
    <row r="17" spans="4:50" x14ac:dyDescent="0.25">
      <c r="D17">
        <v>0.70365999999999995</v>
      </c>
      <c r="I17">
        <v>0.22539000000000001</v>
      </c>
      <c r="S17">
        <f t="shared" ref="S17:S21" si="24">R10</f>
        <v>24.10887</v>
      </c>
      <c r="AC17">
        <f t="shared" ref="AC17:AC21" si="25">AB10</f>
        <v>46.750340000000001</v>
      </c>
      <c r="AG17">
        <f>AG3</f>
        <v>-1.29735</v>
      </c>
      <c r="AH17">
        <f t="shared" ref="AH17:AN17" si="26">AH3</f>
        <v>-1.2748999999999999</v>
      </c>
      <c r="AI17">
        <f t="shared" si="26"/>
        <v>-1.15665</v>
      </c>
      <c r="AJ17">
        <f t="shared" si="26"/>
        <v>-1.01677</v>
      </c>
      <c r="AK17">
        <f t="shared" si="26"/>
        <v>-0.88144999999999996</v>
      </c>
      <c r="AL17">
        <f t="shared" si="26"/>
        <v>-0.75377000000000005</v>
      </c>
      <c r="AM17">
        <f t="shared" si="26"/>
        <v>-0.65737999999999996</v>
      </c>
      <c r="AN17">
        <f t="shared" si="26"/>
        <v>-0.61351999999999995</v>
      </c>
      <c r="AQ17">
        <f>AQ3</f>
        <v>2.3185699999999998</v>
      </c>
      <c r="AR17">
        <f t="shared" ref="AR17:AX17" si="27">AR3</f>
        <v>2.4690300000000001</v>
      </c>
      <c r="AS17">
        <f t="shared" si="27"/>
        <v>2.54914</v>
      </c>
      <c r="AT17">
        <f t="shared" si="27"/>
        <v>2.56941</v>
      </c>
      <c r="AU17">
        <f t="shared" si="27"/>
        <v>2.61754</v>
      </c>
      <c r="AV17">
        <f t="shared" si="27"/>
        <v>2.6070700000000002</v>
      </c>
      <c r="AW17">
        <f t="shared" si="27"/>
        <v>2.5872899999999999</v>
      </c>
      <c r="AX17">
        <f t="shared" si="27"/>
        <v>2.59592</v>
      </c>
    </row>
    <row r="18" spans="4:50" x14ac:dyDescent="0.25">
      <c r="D18">
        <v>0.62412000000000001</v>
      </c>
      <c r="I18">
        <v>0.21554000000000001</v>
      </c>
      <c r="S18">
        <f t="shared" si="24"/>
        <v>52.012869999999999</v>
      </c>
      <c r="AC18">
        <f t="shared" si="25"/>
        <v>11.75773</v>
      </c>
      <c r="AG18">
        <f>AG2</f>
        <v>-1.8468599999999999</v>
      </c>
      <c r="AH18">
        <f t="shared" ref="AH18:AN18" si="28">AH2</f>
        <v>-1.6582399999999999</v>
      </c>
      <c r="AI18">
        <f t="shared" si="28"/>
        <v>-1.54332</v>
      </c>
      <c r="AJ18">
        <f t="shared" si="28"/>
        <v>-1.39168</v>
      </c>
      <c r="AK18">
        <f t="shared" si="28"/>
        <v>-1.2989900000000001</v>
      </c>
      <c r="AL18">
        <f t="shared" si="28"/>
        <v>-1.2716400000000001</v>
      </c>
      <c r="AM18">
        <f t="shared" si="28"/>
        <v>-1.2265600000000001</v>
      </c>
      <c r="AN18">
        <f t="shared" si="28"/>
        <v>-1.2005699999999999</v>
      </c>
      <c r="AO18" t="s">
        <v>24</v>
      </c>
      <c r="AQ18">
        <f>AQ2</f>
        <v>3.08</v>
      </c>
      <c r="AR18">
        <f t="shared" ref="AR18:AX18" si="29">AR2</f>
        <v>3.0508000000000002</v>
      </c>
      <c r="AS18">
        <f t="shared" si="29"/>
        <v>3.1896599999999999</v>
      </c>
      <c r="AT18">
        <f t="shared" si="29"/>
        <v>3.1617099999999998</v>
      </c>
      <c r="AU18">
        <f t="shared" si="29"/>
        <v>3.2618299999999998</v>
      </c>
      <c r="AV18">
        <f t="shared" si="29"/>
        <v>3.3439999999999999</v>
      </c>
      <c r="AW18">
        <f t="shared" si="29"/>
        <v>3.48034</v>
      </c>
      <c r="AX18">
        <f t="shared" si="29"/>
        <v>3.4944000000000002</v>
      </c>
    </row>
    <row r="19" spans="4:50" x14ac:dyDescent="0.25">
      <c r="D19">
        <v>0.42304999999999998</v>
      </c>
      <c r="I19">
        <v>0.27509</v>
      </c>
      <c r="S19">
        <f t="shared" si="24"/>
        <v>108.75859</v>
      </c>
      <c r="AC19">
        <f t="shared" si="25"/>
        <v>9.1038899999999998</v>
      </c>
    </row>
    <row r="20" spans="4:50" x14ac:dyDescent="0.25">
      <c r="D20">
        <v>0.41889999999999999</v>
      </c>
      <c r="I20">
        <v>0.27218999999999999</v>
      </c>
      <c r="S20">
        <f t="shared" si="24"/>
        <v>164.06939</v>
      </c>
      <c r="AC20">
        <f t="shared" si="25"/>
        <v>6.41852</v>
      </c>
      <c r="AG20">
        <v>-0.85536999999999996</v>
      </c>
      <c r="AH20">
        <v>-0.81943999999999995</v>
      </c>
      <c r="AI20">
        <v>-0.69306999999999996</v>
      </c>
      <c r="AJ20">
        <v>-0.53591</v>
      </c>
      <c r="AK20">
        <v>-0.26489000000000001</v>
      </c>
      <c r="AL20">
        <v>-0.14834</v>
      </c>
      <c r="AM20">
        <v>-0.11409</v>
      </c>
      <c r="AN20">
        <v>-5.6980000000000003E-2</v>
      </c>
      <c r="AO20" t="s">
        <v>23</v>
      </c>
      <c r="AQ20">
        <v>0.9244</v>
      </c>
      <c r="AR20">
        <v>1.28884</v>
      </c>
      <c r="AS20">
        <v>1.78182</v>
      </c>
      <c r="AT20">
        <v>1.69099</v>
      </c>
      <c r="AU20">
        <v>1.3596600000000001</v>
      </c>
      <c r="AV20">
        <v>1.45211</v>
      </c>
      <c r="AW20">
        <v>1.6106499999999999</v>
      </c>
      <c r="AX20">
        <v>1.7457800000000001</v>
      </c>
    </row>
    <row r="21" spans="4:50" x14ac:dyDescent="0.25">
      <c r="D21">
        <v>1.2987899999999999</v>
      </c>
      <c r="I21">
        <v>0.22652</v>
      </c>
      <c r="S21">
        <f t="shared" si="24"/>
        <v>267.79055</v>
      </c>
      <c r="AC21">
        <f t="shared" si="25"/>
        <v>3.6878199999999999</v>
      </c>
      <c r="AG21">
        <v>-0.84797</v>
      </c>
      <c r="AH21">
        <v>-0.81601000000000001</v>
      </c>
      <c r="AI21">
        <v>-0.71408000000000005</v>
      </c>
      <c r="AJ21">
        <v>-0.58794999999999997</v>
      </c>
      <c r="AK21">
        <v>-0.31811</v>
      </c>
      <c r="AL21">
        <v>-0.21282999999999999</v>
      </c>
      <c r="AM21">
        <v>-0.17951</v>
      </c>
      <c r="AN21">
        <v>-8.9679999999999996E-2</v>
      </c>
      <c r="AQ21">
        <v>1.0845100000000001</v>
      </c>
      <c r="AR21">
        <v>1.41774</v>
      </c>
      <c r="AS21">
        <v>1.7987299999999999</v>
      </c>
      <c r="AT21">
        <v>1.7449399999999999</v>
      </c>
      <c r="AU21">
        <v>1.5529900000000001</v>
      </c>
      <c r="AV21">
        <v>1.5505899999999999</v>
      </c>
      <c r="AW21">
        <v>1.6923999999999999</v>
      </c>
      <c r="AX21">
        <v>1.8265800000000001</v>
      </c>
    </row>
    <row r="22" spans="4:50" x14ac:dyDescent="0.25">
      <c r="D22">
        <v>1.1048800000000001</v>
      </c>
      <c r="I22">
        <v>0.29133999999999999</v>
      </c>
      <c r="AG22">
        <v>-0.86126000000000003</v>
      </c>
      <c r="AH22">
        <v>-0.82430000000000003</v>
      </c>
      <c r="AI22">
        <v>-0.77717000000000003</v>
      </c>
      <c r="AJ22">
        <v>-0.63109000000000004</v>
      </c>
      <c r="AK22">
        <v>-0.43529000000000001</v>
      </c>
      <c r="AL22">
        <v>-0.36274000000000001</v>
      </c>
      <c r="AM22">
        <v>-0.21933</v>
      </c>
      <c r="AN22">
        <v>-0.20591000000000001</v>
      </c>
      <c r="AQ22">
        <v>1.2357100000000001</v>
      </c>
      <c r="AR22">
        <v>1.56694</v>
      </c>
      <c r="AS22">
        <v>1.78111</v>
      </c>
      <c r="AT22">
        <v>1.8231200000000001</v>
      </c>
      <c r="AU22">
        <v>1.56399</v>
      </c>
      <c r="AV22">
        <v>1.73441</v>
      </c>
      <c r="AW22">
        <v>1.7330000000000001</v>
      </c>
      <c r="AX22">
        <v>1.8416300000000001</v>
      </c>
    </row>
    <row r="23" spans="4:50" x14ac:dyDescent="0.25">
      <c r="D23">
        <v>0.90169999999999995</v>
      </c>
      <c r="I23">
        <v>0.29697000000000001</v>
      </c>
      <c r="S23">
        <f>Q9</f>
        <v>21.1172</v>
      </c>
      <c r="AC23">
        <f>AA9</f>
        <v>46.839849999999998</v>
      </c>
      <c r="AG23">
        <v>-0.89351000000000003</v>
      </c>
      <c r="AH23">
        <v>-0.86626999999999998</v>
      </c>
      <c r="AI23">
        <v>-0.79498999999999997</v>
      </c>
      <c r="AJ23">
        <v>-0.65325999999999995</v>
      </c>
      <c r="AK23">
        <v>-0.50853999999999999</v>
      </c>
      <c r="AL23">
        <v>-0.44227</v>
      </c>
      <c r="AM23">
        <v>-0.29444999999999999</v>
      </c>
      <c r="AN23">
        <v>-0.21884000000000001</v>
      </c>
      <c r="AQ23">
        <v>1.4158900000000001</v>
      </c>
      <c r="AR23">
        <v>1.6980599999999999</v>
      </c>
      <c r="AS23">
        <v>1.8776200000000001</v>
      </c>
      <c r="AT23">
        <v>1.8661300000000001</v>
      </c>
      <c r="AU23">
        <v>1.70069</v>
      </c>
      <c r="AV23">
        <v>1.86395</v>
      </c>
      <c r="AW23">
        <v>1.7624200000000001</v>
      </c>
      <c r="AX23">
        <v>1.8435600000000001</v>
      </c>
    </row>
    <row r="24" spans="4:50" x14ac:dyDescent="0.25">
      <c r="D24">
        <v>1.0638099999999999</v>
      </c>
      <c r="I24">
        <v>0.28805999999999998</v>
      </c>
      <c r="S24">
        <f t="shared" ref="S24:S28" si="30">Q10</f>
        <v>28.857030000000002</v>
      </c>
      <c r="AC24">
        <f t="shared" ref="AC24:AC28" si="31">AA10</f>
        <v>31.78959</v>
      </c>
      <c r="AG24">
        <v>-0.98955000000000004</v>
      </c>
      <c r="AH24">
        <v>-0.99404000000000003</v>
      </c>
      <c r="AI24">
        <v>-0.92684999999999995</v>
      </c>
      <c r="AJ24">
        <v>-0.76881999999999995</v>
      </c>
      <c r="AK24">
        <v>-0.61721000000000004</v>
      </c>
      <c r="AL24">
        <v>-0.55179999999999996</v>
      </c>
      <c r="AM24">
        <v>-0.41453000000000001</v>
      </c>
      <c r="AN24">
        <v>-0.31287999999999999</v>
      </c>
      <c r="AQ24">
        <v>1.67554</v>
      </c>
      <c r="AR24">
        <v>1.91726</v>
      </c>
      <c r="AS24">
        <v>2.0965600000000002</v>
      </c>
      <c r="AT24">
        <v>2.12297</v>
      </c>
      <c r="AU24">
        <v>1.9777400000000001</v>
      </c>
      <c r="AV24">
        <v>2.0844900000000002</v>
      </c>
      <c r="AW24">
        <v>2.0220500000000001</v>
      </c>
      <c r="AX24">
        <v>1.9234100000000001</v>
      </c>
    </row>
    <row r="25" spans="4:50" x14ac:dyDescent="0.25">
      <c r="D25">
        <v>1.0139</v>
      </c>
      <c r="I25">
        <v>0.19295999999999999</v>
      </c>
      <c r="S25">
        <f t="shared" si="30"/>
        <v>65.299769999999995</v>
      </c>
      <c r="AC25">
        <f t="shared" si="31"/>
        <v>13.983029999999999</v>
      </c>
      <c r="AG25">
        <v>-1.2040200000000001</v>
      </c>
      <c r="AH25">
        <v>-1.1873800000000001</v>
      </c>
      <c r="AI25">
        <v>-1.0725100000000001</v>
      </c>
      <c r="AJ25">
        <v>-0.92081000000000002</v>
      </c>
      <c r="AK25">
        <v>-0.75036000000000003</v>
      </c>
      <c r="AL25">
        <v>-0.56540000000000001</v>
      </c>
      <c r="AM25">
        <v>-0.45230999999999999</v>
      </c>
      <c r="AN25">
        <v>-0.35132000000000002</v>
      </c>
      <c r="AQ25">
        <v>2.0655399999999999</v>
      </c>
      <c r="AR25">
        <v>2.2173699999999998</v>
      </c>
      <c r="AS25">
        <v>2.3565800000000001</v>
      </c>
      <c r="AT25">
        <v>2.3162699999999998</v>
      </c>
      <c r="AU25">
        <v>2.2264900000000001</v>
      </c>
      <c r="AV25">
        <v>2.1947700000000001</v>
      </c>
      <c r="AW25">
        <v>2.0562299999999998</v>
      </c>
      <c r="AX25">
        <v>1.95604</v>
      </c>
    </row>
    <row r="26" spans="4:50" x14ac:dyDescent="0.25">
      <c r="D26">
        <v>0.75558999999999998</v>
      </c>
      <c r="I26">
        <v>0.27290999999999999</v>
      </c>
      <c r="S26">
        <f t="shared" si="30"/>
        <v>146.61758</v>
      </c>
      <c r="AC26">
        <f t="shared" si="31"/>
        <v>6.5908100000000003</v>
      </c>
      <c r="AG26">
        <v>-1.29735</v>
      </c>
      <c r="AH26">
        <v>-1.2748999999999999</v>
      </c>
      <c r="AI26">
        <v>-1.15665</v>
      </c>
      <c r="AJ26">
        <v>-1.01677</v>
      </c>
      <c r="AK26">
        <v>-0.88144999999999996</v>
      </c>
      <c r="AL26">
        <v>-0.75377000000000005</v>
      </c>
      <c r="AM26">
        <v>-0.65737999999999996</v>
      </c>
      <c r="AN26">
        <v>-0.61351999999999995</v>
      </c>
      <c r="AQ26">
        <v>2.3185699999999998</v>
      </c>
      <c r="AR26">
        <v>2.4690300000000001</v>
      </c>
      <c r="AS26">
        <v>2.54914</v>
      </c>
      <c r="AT26">
        <v>2.56941</v>
      </c>
      <c r="AU26">
        <v>2.61754</v>
      </c>
      <c r="AV26">
        <v>2.6070700000000002</v>
      </c>
      <c r="AW26">
        <v>2.5872899999999999</v>
      </c>
      <c r="AX26">
        <v>2.59592</v>
      </c>
    </row>
    <row r="27" spans="4:50" x14ac:dyDescent="0.25">
      <c r="I27">
        <v>0.29971999999999999</v>
      </c>
      <c r="S27">
        <f t="shared" si="30"/>
        <v>336.70073000000002</v>
      </c>
      <c r="AC27">
        <f t="shared" si="31"/>
        <v>2.95363</v>
      </c>
      <c r="AG27">
        <v>-1.8468599999999999</v>
      </c>
      <c r="AH27">
        <v>-1.6582399999999999</v>
      </c>
      <c r="AI27">
        <v>-1.54332</v>
      </c>
      <c r="AJ27">
        <v>-1.39168</v>
      </c>
      <c r="AK27">
        <v>-1.2989900000000001</v>
      </c>
      <c r="AL27">
        <v>-1.2716400000000001</v>
      </c>
      <c r="AM27">
        <v>-1.2265600000000001</v>
      </c>
      <c r="AN27">
        <v>-1.2005699999999999</v>
      </c>
      <c r="AO27" t="s">
        <v>24</v>
      </c>
      <c r="AQ27">
        <v>3.08</v>
      </c>
      <c r="AR27">
        <v>3.0508000000000002</v>
      </c>
      <c r="AS27">
        <v>3.1896599999999999</v>
      </c>
      <c r="AT27">
        <v>3.1617099999999998</v>
      </c>
      <c r="AU27">
        <v>3.2618299999999998</v>
      </c>
      <c r="AV27">
        <v>3.3439999999999999</v>
      </c>
      <c r="AW27">
        <v>3.48034</v>
      </c>
      <c r="AX27">
        <v>3.4944000000000002</v>
      </c>
    </row>
    <row r="28" spans="4:50" x14ac:dyDescent="0.25">
      <c r="I28">
        <v>0.32362999999999997</v>
      </c>
      <c r="S28">
        <f t="shared" si="30"/>
        <v>471.85120999999998</v>
      </c>
      <c r="AC28">
        <f t="shared" si="31"/>
        <v>2.0098699999999998</v>
      </c>
    </row>
    <row r="29" spans="4:50" x14ac:dyDescent="0.25">
      <c r="I29">
        <v>0.35904000000000003</v>
      </c>
      <c r="AG29">
        <v>-0.85536999999999996</v>
      </c>
      <c r="AH29">
        <v>-0.84797</v>
      </c>
      <c r="AI29">
        <v>-0.86126000000000003</v>
      </c>
      <c r="AJ29">
        <v>-0.89351000000000003</v>
      </c>
      <c r="AK29">
        <v>-0.98955000000000004</v>
      </c>
      <c r="AL29">
        <v>-1.2040200000000001</v>
      </c>
      <c r="AM29">
        <v>-1.29735</v>
      </c>
      <c r="AN29">
        <v>-1.8468599999999999</v>
      </c>
      <c r="AQ29">
        <v>0.9244</v>
      </c>
      <c r="AR29">
        <v>1.0845100000000001</v>
      </c>
      <c r="AS29">
        <v>1.2357100000000001</v>
      </c>
      <c r="AT29">
        <v>1.4158900000000001</v>
      </c>
      <c r="AU29">
        <v>1.67554</v>
      </c>
      <c r="AV29">
        <v>2.0655399999999999</v>
      </c>
      <c r="AW29">
        <v>2.3185699999999998</v>
      </c>
      <c r="AX29">
        <v>3.08</v>
      </c>
    </row>
    <row r="30" spans="4:50" x14ac:dyDescent="0.25">
      <c r="I30">
        <v>0.36259000000000002</v>
      </c>
      <c r="S30">
        <f>P9</f>
        <v>38.14273</v>
      </c>
      <c r="AC30">
        <f>Z9</f>
        <v>19.39723</v>
      </c>
      <c r="AG30">
        <v>-0.81943999999999995</v>
      </c>
      <c r="AH30">
        <v>-0.81601000000000001</v>
      </c>
      <c r="AI30">
        <v>-0.82430000000000003</v>
      </c>
      <c r="AJ30">
        <v>-0.86626999999999998</v>
      </c>
      <c r="AK30">
        <v>-0.99404000000000003</v>
      </c>
      <c r="AL30">
        <v>-1.1873800000000001</v>
      </c>
      <c r="AM30">
        <v>-1.2748999999999999</v>
      </c>
      <c r="AN30">
        <v>-1.6582399999999999</v>
      </c>
      <c r="AQ30">
        <v>1.28884</v>
      </c>
      <c r="AR30">
        <v>1.41774</v>
      </c>
      <c r="AS30">
        <v>1.56694</v>
      </c>
      <c r="AT30">
        <v>1.6980599999999999</v>
      </c>
      <c r="AU30">
        <v>1.91726</v>
      </c>
      <c r="AV30">
        <v>2.2173699999999998</v>
      </c>
      <c r="AW30">
        <v>2.4690300000000001</v>
      </c>
      <c r="AX30">
        <v>3.0508000000000002</v>
      </c>
    </row>
    <row r="31" spans="4:50" x14ac:dyDescent="0.25">
      <c r="I31">
        <v>0.26444000000000001</v>
      </c>
      <c r="S31">
        <f t="shared" ref="S31:S35" si="32">P10</f>
        <v>58.185839999999999</v>
      </c>
      <c r="AC31">
        <f t="shared" ref="AC31:AC35" si="33">Z10</f>
        <v>14.318199999999999</v>
      </c>
      <c r="AG31">
        <v>-0.69306999999999996</v>
      </c>
      <c r="AH31">
        <v>-0.71408000000000005</v>
      </c>
      <c r="AI31">
        <v>-0.77717000000000003</v>
      </c>
      <c r="AJ31">
        <v>-0.79498999999999997</v>
      </c>
      <c r="AK31">
        <v>-0.92684999999999995</v>
      </c>
      <c r="AL31">
        <v>-1.0725100000000001</v>
      </c>
      <c r="AM31">
        <v>-1.15665</v>
      </c>
      <c r="AN31">
        <v>-1.54332</v>
      </c>
      <c r="AQ31">
        <v>1.78182</v>
      </c>
      <c r="AR31">
        <v>1.7987299999999999</v>
      </c>
      <c r="AS31">
        <v>1.78111</v>
      </c>
      <c r="AT31">
        <v>1.8776200000000001</v>
      </c>
      <c r="AU31">
        <v>2.0965600000000002</v>
      </c>
      <c r="AV31">
        <v>2.3565800000000001</v>
      </c>
      <c r="AW31">
        <v>2.54914</v>
      </c>
      <c r="AX31">
        <v>3.1896599999999999</v>
      </c>
    </row>
    <row r="32" spans="4:50" x14ac:dyDescent="0.25">
      <c r="I32">
        <v>0.27167000000000002</v>
      </c>
      <c r="S32">
        <f t="shared" si="32"/>
        <v>111.56149000000001</v>
      </c>
      <c r="AC32">
        <f t="shared" si="33"/>
        <v>10.693479999999999</v>
      </c>
      <c r="AG32">
        <v>-0.53591</v>
      </c>
      <c r="AH32">
        <v>-0.58794999999999997</v>
      </c>
      <c r="AI32">
        <v>-0.63109000000000004</v>
      </c>
      <c r="AJ32">
        <v>-0.65325999999999995</v>
      </c>
      <c r="AK32">
        <v>-0.76881999999999995</v>
      </c>
      <c r="AL32">
        <v>-0.92081000000000002</v>
      </c>
      <c r="AM32">
        <v>-1.01677</v>
      </c>
      <c r="AN32">
        <v>-1.39168</v>
      </c>
      <c r="AQ32">
        <v>1.69099</v>
      </c>
      <c r="AR32">
        <v>1.7449399999999999</v>
      </c>
      <c r="AS32">
        <v>1.8231200000000001</v>
      </c>
      <c r="AT32">
        <v>1.8661300000000001</v>
      </c>
      <c r="AU32">
        <v>2.12297</v>
      </c>
      <c r="AV32">
        <v>2.3162699999999998</v>
      </c>
      <c r="AW32">
        <v>2.56941</v>
      </c>
      <c r="AX32">
        <v>3.1617099999999998</v>
      </c>
    </row>
    <row r="33" spans="9:50" x14ac:dyDescent="0.25">
      <c r="I33">
        <v>0.41097</v>
      </c>
      <c r="S33">
        <f t="shared" si="32"/>
        <v>198.73838000000001</v>
      </c>
      <c r="AC33">
        <f t="shared" si="33"/>
        <v>4.7279</v>
      </c>
      <c r="AG33">
        <v>-0.26489000000000001</v>
      </c>
      <c r="AH33">
        <v>-0.31811</v>
      </c>
      <c r="AI33">
        <v>-0.43529000000000001</v>
      </c>
      <c r="AJ33">
        <v>-0.50853999999999999</v>
      </c>
      <c r="AK33">
        <v>-0.61721000000000004</v>
      </c>
      <c r="AL33">
        <v>-0.75036000000000003</v>
      </c>
      <c r="AM33">
        <v>-0.88144999999999996</v>
      </c>
      <c r="AN33">
        <v>-1.2989900000000001</v>
      </c>
      <c r="AQ33">
        <v>1.3596600000000001</v>
      </c>
      <c r="AR33">
        <v>1.5529900000000001</v>
      </c>
      <c r="AS33">
        <v>1.56399</v>
      </c>
      <c r="AT33">
        <v>1.70069</v>
      </c>
      <c r="AU33">
        <v>1.9777400000000001</v>
      </c>
      <c r="AV33">
        <v>2.2264900000000001</v>
      </c>
      <c r="AW33">
        <v>2.61754</v>
      </c>
      <c r="AX33">
        <v>3.2618299999999998</v>
      </c>
    </row>
    <row r="34" spans="9:50" x14ac:dyDescent="0.25">
      <c r="I34">
        <v>0.34745999999999999</v>
      </c>
      <c r="S34">
        <f t="shared" si="32"/>
        <v>377.64134000000001</v>
      </c>
      <c r="AC34">
        <f t="shared" si="33"/>
        <v>2.0263300000000002</v>
      </c>
      <c r="AG34">
        <v>-0.14834</v>
      </c>
      <c r="AH34">
        <v>-0.21282999999999999</v>
      </c>
      <c r="AI34">
        <v>-0.36274000000000001</v>
      </c>
      <c r="AJ34">
        <v>-0.44227</v>
      </c>
      <c r="AK34">
        <v>-0.55179999999999996</v>
      </c>
      <c r="AL34">
        <v>-0.56540000000000001</v>
      </c>
      <c r="AM34">
        <v>-0.75377000000000005</v>
      </c>
      <c r="AN34">
        <v>-1.2716400000000001</v>
      </c>
      <c r="AQ34">
        <v>1.45211</v>
      </c>
      <c r="AR34">
        <v>1.5505899999999999</v>
      </c>
      <c r="AS34">
        <v>1.73441</v>
      </c>
      <c r="AT34">
        <v>1.86395</v>
      </c>
      <c r="AU34">
        <v>2.0844900000000002</v>
      </c>
      <c r="AV34">
        <v>2.1947700000000001</v>
      </c>
      <c r="AW34">
        <v>2.6070700000000002</v>
      </c>
      <c r="AX34">
        <v>3.3439999999999999</v>
      </c>
    </row>
    <row r="35" spans="9:50" x14ac:dyDescent="0.25">
      <c r="I35">
        <v>0.38778000000000001</v>
      </c>
      <c r="S35">
        <f t="shared" si="32"/>
        <v>621.17799000000002</v>
      </c>
      <c r="AC35">
        <f t="shared" si="33"/>
        <v>1.37429</v>
      </c>
      <c r="AG35">
        <v>-0.11409</v>
      </c>
      <c r="AH35">
        <v>-0.17951</v>
      </c>
      <c r="AI35">
        <v>-0.21933</v>
      </c>
      <c r="AJ35">
        <v>-0.29444999999999999</v>
      </c>
      <c r="AK35">
        <v>-0.41453000000000001</v>
      </c>
      <c r="AL35">
        <v>-0.45230999999999999</v>
      </c>
      <c r="AM35">
        <v>-0.65737999999999996</v>
      </c>
      <c r="AN35">
        <v>-1.2265600000000001</v>
      </c>
      <c r="AQ35">
        <v>1.6106499999999999</v>
      </c>
      <c r="AR35">
        <v>1.6923999999999999</v>
      </c>
      <c r="AS35">
        <v>1.7330000000000001</v>
      </c>
      <c r="AT35">
        <v>1.7624200000000001</v>
      </c>
      <c r="AU35">
        <v>2.0220500000000001</v>
      </c>
      <c r="AV35">
        <v>2.0562299999999998</v>
      </c>
      <c r="AW35">
        <v>2.5872899999999999</v>
      </c>
      <c r="AX35">
        <v>3.48034</v>
      </c>
    </row>
    <row r="36" spans="9:50" x14ac:dyDescent="0.25">
      <c r="I36">
        <v>0.41686000000000001</v>
      </c>
      <c r="AF36" t="s">
        <v>23</v>
      </c>
      <c r="AG36">
        <v>-5.6980000000000003E-2</v>
      </c>
      <c r="AH36">
        <v>-8.9679999999999996E-2</v>
      </c>
      <c r="AI36">
        <v>-0.20591000000000001</v>
      </c>
      <c r="AJ36">
        <v>-0.21884000000000001</v>
      </c>
      <c r="AK36">
        <v>-0.31287999999999999</v>
      </c>
      <c r="AL36">
        <v>-0.35132000000000002</v>
      </c>
      <c r="AM36">
        <v>-0.61351999999999995</v>
      </c>
      <c r="AN36">
        <v>-1.2005699999999999</v>
      </c>
      <c r="AO36" t="s">
        <v>24</v>
      </c>
      <c r="AQ36">
        <v>1.7457800000000001</v>
      </c>
      <c r="AR36">
        <v>1.8265800000000001</v>
      </c>
      <c r="AS36">
        <v>1.8416300000000001</v>
      </c>
      <c r="AT36">
        <v>1.8435600000000001</v>
      </c>
      <c r="AU36">
        <v>1.9234100000000001</v>
      </c>
      <c r="AV36">
        <v>1.95604</v>
      </c>
      <c r="AW36">
        <v>2.59592</v>
      </c>
      <c r="AX36">
        <v>3.4944000000000002</v>
      </c>
    </row>
    <row r="37" spans="9:50" x14ac:dyDescent="0.25">
      <c r="I37">
        <v>0.30204999999999999</v>
      </c>
      <c r="S37">
        <f>O9</f>
        <v>102.58417</v>
      </c>
      <c r="AC37">
        <f>Y9</f>
        <v>9.4444099999999995</v>
      </c>
    </row>
    <row r="38" spans="9:50" x14ac:dyDescent="0.25">
      <c r="I38">
        <v>0.25557000000000002</v>
      </c>
      <c r="S38">
        <f t="shared" ref="S38:S42" si="34">O10</f>
        <v>143.82884000000001</v>
      </c>
      <c r="AC38">
        <f t="shared" ref="AC38:AC42" si="35">Y10</f>
        <v>5.5126299999999997</v>
      </c>
    </row>
    <row r="39" spans="9:50" x14ac:dyDescent="0.25">
      <c r="I39">
        <v>0.56935000000000002</v>
      </c>
      <c r="S39">
        <f t="shared" si="34"/>
        <v>218.48114000000001</v>
      </c>
      <c r="AC39">
        <f t="shared" si="35"/>
        <v>5.8506299999999998</v>
      </c>
      <c r="AG39">
        <v>-0.71408000000000005</v>
      </c>
      <c r="AH39">
        <v>-0.77717000000000003</v>
      </c>
      <c r="AI39">
        <v>-0.79498999999999997</v>
      </c>
      <c r="AJ39">
        <v>-0.92684999999999995</v>
      </c>
      <c r="AK39">
        <v>-1.0725100000000001</v>
      </c>
      <c r="AL39">
        <v>-1.15665</v>
      </c>
      <c r="AM39">
        <v>-1.54332</v>
      </c>
      <c r="AQ39">
        <v>1.7987299999999999</v>
      </c>
      <c r="AR39">
        <v>1.78111</v>
      </c>
      <c r="AS39">
        <v>1.8776200000000001</v>
      </c>
      <c r="AT39">
        <v>2.0965600000000002</v>
      </c>
      <c r="AU39">
        <v>2.3565800000000001</v>
      </c>
      <c r="AV39">
        <v>2.54914</v>
      </c>
      <c r="AW39">
        <v>3.1896599999999999</v>
      </c>
    </row>
    <row r="40" spans="9:50" x14ac:dyDescent="0.25">
      <c r="I40">
        <v>0.4491</v>
      </c>
      <c r="S40">
        <f t="shared" si="34"/>
        <v>291.46802000000002</v>
      </c>
      <c r="AC40">
        <f t="shared" si="35"/>
        <v>2.9925999999999999</v>
      </c>
      <c r="AG40">
        <v>-0.58794999999999997</v>
      </c>
      <c r="AH40">
        <v>-0.63109000000000004</v>
      </c>
      <c r="AI40">
        <v>-0.65325999999999995</v>
      </c>
      <c r="AJ40">
        <v>-0.76881999999999995</v>
      </c>
      <c r="AK40">
        <v>-0.92081000000000002</v>
      </c>
      <c r="AL40">
        <v>-1.01677</v>
      </c>
      <c r="AM40">
        <v>-1.39168</v>
      </c>
      <c r="AQ40">
        <v>1.7449399999999999</v>
      </c>
      <c r="AR40">
        <v>1.8231200000000001</v>
      </c>
      <c r="AS40">
        <v>1.8661300000000001</v>
      </c>
      <c r="AT40">
        <v>2.12297</v>
      </c>
      <c r="AU40">
        <v>2.3162699999999998</v>
      </c>
      <c r="AV40">
        <v>2.56941</v>
      </c>
      <c r="AW40">
        <v>3.1617099999999998</v>
      </c>
    </row>
    <row r="41" spans="9:50" x14ac:dyDescent="0.25">
      <c r="I41">
        <v>0.46126</v>
      </c>
      <c r="S41">
        <f t="shared" si="34"/>
        <v>396.43331999999998</v>
      </c>
      <c r="AC41">
        <f t="shared" si="35"/>
        <v>2.08466</v>
      </c>
      <c r="AG41">
        <v>-0.31811</v>
      </c>
      <c r="AH41">
        <v>-0.43529000000000001</v>
      </c>
      <c r="AI41">
        <v>-0.50853999999999999</v>
      </c>
      <c r="AJ41">
        <v>-0.61721000000000004</v>
      </c>
      <c r="AK41">
        <v>-0.75036000000000003</v>
      </c>
      <c r="AL41">
        <v>-0.88144999999999996</v>
      </c>
      <c r="AM41">
        <v>-1.2989900000000001</v>
      </c>
      <c r="AQ41">
        <v>1.5529900000000001</v>
      </c>
      <c r="AR41">
        <v>1.56399</v>
      </c>
      <c r="AS41">
        <v>1.70069</v>
      </c>
      <c r="AT41">
        <v>1.9777400000000001</v>
      </c>
      <c r="AU41">
        <v>2.2264900000000001</v>
      </c>
      <c r="AV41">
        <v>2.61754</v>
      </c>
      <c r="AW41">
        <v>3.2618299999999998</v>
      </c>
    </row>
    <row r="42" spans="9:50" x14ac:dyDescent="0.25">
      <c r="I42">
        <v>0.40487000000000001</v>
      </c>
      <c r="S42">
        <f t="shared" si="34"/>
        <v>697.70965000000001</v>
      </c>
      <c r="AC42">
        <f t="shared" si="35"/>
        <v>1.58222</v>
      </c>
      <c r="AG42">
        <v>-0.21282999999999999</v>
      </c>
      <c r="AH42">
        <v>-0.36274000000000001</v>
      </c>
      <c r="AI42">
        <v>-0.44227</v>
      </c>
      <c r="AJ42">
        <v>-0.55179999999999996</v>
      </c>
      <c r="AK42">
        <v>-0.56540000000000001</v>
      </c>
      <c r="AL42">
        <v>-0.75377000000000005</v>
      </c>
      <c r="AM42">
        <v>-1.2716400000000001</v>
      </c>
      <c r="AQ42">
        <v>1.5505899999999999</v>
      </c>
      <c r="AR42">
        <v>1.73441</v>
      </c>
      <c r="AS42">
        <v>1.86395</v>
      </c>
      <c r="AT42">
        <v>2.0844900000000002</v>
      </c>
      <c r="AU42">
        <v>2.1947700000000001</v>
      </c>
      <c r="AV42">
        <v>2.6070700000000002</v>
      </c>
      <c r="AW42">
        <v>3.3439999999999999</v>
      </c>
    </row>
    <row r="43" spans="9:50" x14ac:dyDescent="0.25">
      <c r="I43">
        <v>0.22539999999999999</v>
      </c>
      <c r="AG43">
        <v>-0.17951</v>
      </c>
      <c r="AH43">
        <v>-0.21933</v>
      </c>
      <c r="AI43">
        <v>-0.29444999999999999</v>
      </c>
      <c r="AJ43">
        <v>-0.41453000000000001</v>
      </c>
      <c r="AK43">
        <v>-0.45230999999999999</v>
      </c>
      <c r="AL43">
        <v>-0.65737999999999996</v>
      </c>
      <c r="AM43">
        <v>-1.2265600000000001</v>
      </c>
      <c r="AQ43">
        <v>1.6923999999999999</v>
      </c>
      <c r="AR43">
        <v>1.7330000000000001</v>
      </c>
      <c r="AS43">
        <v>1.7624200000000001</v>
      </c>
      <c r="AT43">
        <v>2.0220500000000001</v>
      </c>
      <c r="AU43">
        <v>2.0562299999999998</v>
      </c>
      <c r="AV43">
        <v>2.5872899999999999</v>
      </c>
      <c r="AW43">
        <v>3.48034</v>
      </c>
    </row>
    <row r="44" spans="9:50" x14ac:dyDescent="0.25">
      <c r="I44">
        <v>0.23468</v>
      </c>
      <c r="S44">
        <f>N9</f>
        <v>248.61098999999999</v>
      </c>
      <c r="AC44">
        <f>X9</f>
        <v>4.5515400000000001</v>
      </c>
      <c r="AG44">
        <v>-8.9679999999999996E-2</v>
      </c>
      <c r="AH44">
        <v>-0.20591000000000001</v>
      </c>
      <c r="AI44">
        <v>-0.21884000000000001</v>
      </c>
      <c r="AJ44">
        <v>-0.31287999999999999</v>
      </c>
      <c r="AK44">
        <v>-0.35132000000000002</v>
      </c>
      <c r="AL44">
        <v>-0.61351999999999995</v>
      </c>
      <c r="AM44">
        <v>-1.2005699999999999</v>
      </c>
      <c r="AQ44">
        <v>1.8265800000000001</v>
      </c>
      <c r="AR44">
        <v>1.8416300000000001</v>
      </c>
      <c r="AS44">
        <v>1.8435600000000001</v>
      </c>
      <c r="AT44">
        <v>1.9234100000000001</v>
      </c>
      <c r="AU44">
        <v>1.95604</v>
      </c>
      <c r="AV44">
        <v>2.59592</v>
      </c>
      <c r="AW44">
        <v>3.4944000000000002</v>
      </c>
    </row>
    <row r="45" spans="9:50" x14ac:dyDescent="0.25">
      <c r="I45">
        <v>0.88426000000000005</v>
      </c>
      <c r="S45">
        <f t="shared" ref="S45:S49" si="36">N10</f>
        <v>301.79347000000001</v>
      </c>
      <c r="AC45">
        <f t="shared" ref="AC45:AC49" si="37">X10</f>
        <v>1.8183499999999999</v>
      </c>
    </row>
    <row r="46" spans="9:50" x14ac:dyDescent="0.25">
      <c r="I46">
        <v>0.73102</v>
      </c>
      <c r="S46">
        <f t="shared" si="36"/>
        <v>380.64503000000002</v>
      </c>
      <c r="AC46">
        <f t="shared" si="37"/>
        <v>2.9638100000000001</v>
      </c>
    </row>
    <row r="47" spans="9:50" x14ac:dyDescent="0.25">
      <c r="I47">
        <v>0.70365999999999995</v>
      </c>
      <c r="S47">
        <f t="shared" si="36"/>
        <v>486.05052999999998</v>
      </c>
      <c r="AC47">
        <f t="shared" si="37"/>
        <v>1.83022</v>
      </c>
      <c r="AG47">
        <v>-0.77717000000000003</v>
      </c>
      <c r="AH47">
        <v>-0.79498999999999997</v>
      </c>
      <c r="AI47">
        <v>-0.92684999999999995</v>
      </c>
      <c r="AJ47">
        <v>-1.0725100000000001</v>
      </c>
      <c r="AK47">
        <v>-1.15665</v>
      </c>
      <c r="AL47">
        <v>-1.54332</v>
      </c>
      <c r="AQ47">
        <v>1.78111</v>
      </c>
      <c r="AR47">
        <v>1.8776200000000001</v>
      </c>
      <c r="AS47">
        <v>2.0965600000000002</v>
      </c>
      <c r="AT47">
        <v>2.3565800000000001</v>
      </c>
      <c r="AU47">
        <v>2.54914</v>
      </c>
      <c r="AV47">
        <v>3.1896599999999999</v>
      </c>
    </row>
    <row r="48" spans="9:50" x14ac:dyDescent="0.25">
      <c r="I48">
        <v>0.62412000000000001</v>
      </c>
      <c r="S48">
        <f t="shared" si="36"/>
        <v>531.88058999999998</v>
      </c>
      <c r="AC48">
        <f t="shared" si="37"/>
        <v>1.8193900000000001</v>
      </c>
      <c r="AG48">
        <v>-0.63109000000000004</v>
      </c>
      <c r="AH48">
        <v>-0.65325999999999995</v>
      </c>
      <c r="AI48">
        <v>-0.76881999999999995</v>
      </c>
      <c r="AJ48">
        <v>-0.92081000000000002</v>
      </c>
      <c r="AK48">
        <v>-1.01677</v>
      </c>
      <c r="AL48">
        <v>-1.39168</v>
      </c>
      <c r="AQ48">
        <v>1.8231200000000001</v>
      </c>
      <c r="AR48">
        <v>1.8661300000000001</v>
      </c>
      <c r="AS48">
        <v>2.12297</v>
      </c>
      <c r="AT48">
        <v>2.3162699999999998</v>
      </c>
      <c r="AU48">
        <v>2.56941</v>
      </c>
      <c r="AV48">
        <v>3.1617099999999998</v>
      </c>
    </row>
    <row r="49" spans="9:48" x14ac:dyDescent="0.25">
      <c r="I49">
        <v>0.42304999999999998</v>
      </c>
      <c r="S49">
        <f t="shared" si="36"/>
        <v>685.50135</v>
      </c>
      <c r="AC49">
        <f t="shared" si="37"/>
        <v>1.7173700000000001</v>
      </c>
      <c r="AG49">
        <v>-0.43529000000000001</v>
      </c>
      <c r="AH49">
        <v>-0.50853999999999999</v>
      </c>
      <c r="AI49">
        <v>-0.61721000000000004</v>
      </c>
      <c r="AJ49">
        <v>-0.75036000000000003</v>
      </c>
      <c r="AK49">
        <v>-0.88144999999999996</v>
      </c>
      <c r="AL49">
        <v>-1.2989900000000001</v>
      </c>
      <c r="AQ49">
        <v>1.56399</v>
      </c>
      <c r="AR49">
        <v>1.70069</v>
      </c>
      <c r="AS49">
        <v>1.9777400000000001</v>
      </c>
      <c r="AT49">
        <v>2.2264900000000001</v>
      </c>
      <c r="AU49">
        <v>2.61754</v>
      </c>
      <c r="AV49">
        <v>3.2618299999999998</v>
      </c>
    </row>
    <row r="50" spans="9:48" x14ac:dyDescent="0.25">
      <c r="I50">
        <v>0.41889999999999999</v>
      </c>
      <c r="AG50">
        <v>-0.36274000000000001</v>
      </c>
      <c r="AH50">
        <v>-0.44227</v>
      </c>
      <c r="AI50">
        <v>-0.55179999999999996</v>
      </c>
      <c r="AJ50">
        <v>-0.56540000000000001</v>
      </c>
      <c r="AK50">
        <v>-0.75377000000000005</v>
      </c>
      <c r="AL50">
        <v>-1.2716400000000001</v>
      </c>
      <c r="AQ50">
        <v>1.73441</v>
      </c>
      <c r="AR50">
        <v>1.86395</v>
      </c>
      <c r="AS50">
        <v>2.0844900000000002</v>
      </c>
      <c r="AT50">
        <v>2.1947700000000001</v>
      </c>
      <c r="AU50">
        <v>2.6070700000000002</v>
      </c>
      <c r="AV50">
        <v>3.3439999999999999</v>
      </c>
    </row>
    <row r="51" spans="9:48" x14ac:dyDescent="0.25">
      <c r="I51">
        <v>1.2987899999999999</v>
      </c>
      <c r="S51">
        <f>M9</f>
        <v>392.20105000000001</v>
      </c>
      <c r="AC51">
        <f>W9</f>
        <v>1.6360600000000001</v>
      </c>
      <c r="AG51">
        <v>-0.21933</v>
      </c>
      <c r="AH51">
        <v>-0.29444999999999999</v>
      </c>
      <c r="AI51">
        <v>-0.41453000000000001</v>
      </c>
      <c r="AJ51">
        <v>-0.45230999999999999</v>
      </c>
      <c r="AK51">
        <v>-0.65737999999999996</v>
      </c>
      <c r="AL51">
        <v>-1.2265600000000001</v>
      </c>
      <c r="AQ51">
        <v>1.7330000000000001</v>
      </c>
      <c r="AR51">
        <v>1.7624200000000001</v>
      </c>
      <c r="AS51">
        <v>2.0220500000000001</v>
      </c>
      <c r="AT51">
        <v>2.0562299999999998</v>
      </c>
      <c r="AU51">
        <v>2.5872899999999999</v>
      </c>
      <c r="AV51">
        <v>3.48034</v>
      </c>
    </row>
    <row r="52" spans="9:48" x14ac:dyDescent="0.25">
      <c r="I52">
        <v>1.1048800000000001</v>
      </c>
      <c r="S52">
        <f t="shared" ref="S52:S56" si="38">M10</f>
        <v>444.72037</v>
      </c>
      <c r="AC52">
        <f t="shared" ref="AC52:AC56" si="39">W10</f>
        <v>0.87331000000000003</v>
      </c>
      <c r="AG52">
        <v>-0.20591000000000001</v>
      </c>
      <c r="AH52">
        <v>-0.21884000000000001</v>
      </c>
      <c r="AI52">
        <v>-0.31287999999999999</v>
      </c>
      <c r="AJ52">
        <v>-0.35132000000000002</v>
      </c>
      <c r="AK52">
        <v>-0.61351999999999995</v>
      </c>
      <c r="AL52">
        <v>-1.2005699999999999</v>
      </c>
      <c r="AQ52">
        <v>1.8416300000000001</v>
      </c>
      <c r="AR52">
        <v>1.8435600000000001</v>
      </c>
      <c r="AS52">
        <v>1.9234100000000001</v>
      </c>
      <c r="AT52">
        <v>1.95604</v>
      </c>
      <c r="AU52">
        <v>2.59592</v>
      </c>
      <c r="AV52">
        <v>3.4944000000000002</v>
      </c>
    </row>
    <row r="53" spans="9:48" x14ac:dyDescent="0.25">
      <c r="I53">
        <v>0.90169999999999995</v>
      </c>
      <c r="S53">
        <f t="shared" si="38"/>
        <v>528.31519000000003</v>
      </c>
      <c r="AC53">
        <f t="shared" si="39"/>
        <v>1.76807</v>
      </c>
    </row>
    <row r="54" spans="9:48" x14ac:dyDescent="0.25">
      <c r="I54">
        <v>1.0638099999999999</v>
      </c>
      <c r="S54">
        <f t="shared" si="38"/>
        <v>641.47145</v>
      </c>
      <c r="AC54">
        <f t="shared" si="39"/>
        <v>0.91437000000000002</v>
      </c>
    </row>
    <row r="55" spans="9:48" x14ac:dyDescent="0.25">
      <c r="I55">
        <v>1.0139</v>
      </c>
      <c r="S55">
        <f t="shared" si="38"/>
        <v>647.74284999999998</v>
      </c>
      <c r="AC55">
        <f t="shared" si="39"/>
        <v>1.28738</v>
      </c>
      <c r="AG55">
        <v>-0.79498999999999997</v>
      </c>
      <c r="AH55">
        <v>-0.92684999999999995</v>
      </c>
      <c r="AI55">
        <v>-1.0725100000000001</v>
      </c>
      <c r="AJ55">
        <v>-1.15665</v>
      </c>
      <c r="AK55">
        <v>-1.54332</v>
      </c>
      <c r="AQ55">
        <v>1.8776200000000001</v>
      </c>
      <c r="AR55">
        <v>2.0965600000000002</v>
      </c>
      <c r="AS55">
        <v>2.3565800000000001</v>
      </c>
      <c r="AT55">
        <v>2.54914</v>
      </c>
      <c r="AU55">
        <v>3.1896599999999999</v>
      </c>
    </row>
    <row r="56" spans="9:48" x14ac:dyDescent="0.25">
      <c r="I56">
        <v>0.75558999999999998</v>
      </c>
      <c r="S56">
        <f t="shared" si="38"/>
        <v>665.73812999999996</v>
      </c>
      <c r="AC56">
        <f t="shared" si="39"/>
        <v>1.63561</v>
      </c>
      <c r="AG56">
        <v>-0.65325999999999995</v>
      </c>
      <c r="AH56">
        <v>-0.76881999999999995</v>
      </c>
      <c r="AI56">
        <v>-0.92081000000000002</v>
      </c>
      <c r="AJ56">
        <v>-1.01677</v>
      </c>
      <c r="AK56">
        <v>-1.39168</v>
      </c>
      <c r="AQ56">
        <v>1.8661300000000001</v>
      </c>
      <c r="AR56">
        <v>2.12297</v>
      </c>
      <c r="AS56">
        <v>2.3162699999999998</v>
      </c>
      <c r="AT56">
        <v>2.56941</v>
      </c>
      <c r="AU56">
        <v>3.1617099999999998</v>
      </c>
    </row>
    <row r="57" spans="9:48" x14ac:dyDescent="0.25">
      <c r="AG57">
        <v>-0.50853999999999999</v>
      </c>
      <c r="AH57">
        <v>-0.61721000000000004</v>
      </c>
      <c r="AI57">
        <v>-0.75036000000000003</v>
      </c>
      <c r="AJ57">
        <v>-0.88144999999999996</v>
      </c>
      <c r="AK57">
        <v>-1.2989900000000001</v>
      </c>
      <c r="AQ57">
        <v>1.70069</v>
      </c>
      <c r="AR57">
        <v>1.9777400000000001</v>
      </c>
      <c r="AS57">
        <v>2.2264900000000001</v>
      </c>
      <c r="AT57">
        <v>2.61754</v>
      </c>
      <c r="AU57">
        <v>3.2618299999999998</v>
      </c>
    </row>
    <row r="58" spans="9:48" x14ac:dyDescent="0.25">
      <c r="S58">
        <f>L9</f>
        <v>550.33307000000002</v>
      </c>
      <c r="AC58">
        <f>V9</f>
        <v>0.43767</v>
      </c>
      <c r="AG58">
        <v>-0.44227</v>
      </c>
      <c r="AH58">
        <v>-0.55179999999999996</v>
      </c>
      <c r="AI58">
        <v>-0.56540000000000001</v>
      </c>
      <c r="AJ58">
        <v>-0.75377000000000005</v>
      </c>
      <c r="AK58">
        <v>-1.2716400000000001</v>
      </c>
      <c r="AQ58">
        <v>1.86395</v>
      </c>
      <c r="AR58">
        <v>2.0844900000000002</v>
      </c>
      <c r="AS58">
        <v>2.1947700000000001</v>
      </c>
      <c r="AT58">
        <v>2.6070700000000002</v>
      </c>
      <c r="AU58">
        <v>3.3439999999999999</v>
      </c>
    </row>
    <row r="59" spans="9:48" x14ac:dyDescent="0.25">
      <c r="S59">
        <f t="shared" ref="S59:S63" si="40">L10</f>
        <v>650.47640000000001</v>
      </c>
      <c r="AC59">
        <f t="shared" ref="AC59:AC63" si="41">V10</f>
        <v>-4.1939999999999998E-2</v>
      </c>
      <c r="AG59">
        <v>-0.29444999999999999</v>
      </c>
      <c r="AH59">
        <v>-0.41453000000000001</v>
      </c>
      <c r="AI59">
        <v>-0.45230999999999999</v>
      </c>
      <c r="AJ59">
        <v>-0.65737999999999996</v>
      </c>
      <c r="AK59">
        <v>-1.2265600000000001</v>
      </c>
      <c r="AQ59">
        <v>1.7624200000000001</v>
      </c>
      <c r="AR59">
        <v>2.0220500000000001</v>
      </c>
      <c r="AS59">
        <v>2.0562299999999998</v>
      </c>
      <c r="AT59">
        <v>2.5872899999999999</v>
      </c>
      <c r="AU59">
        <v>3.48034</v>
      </c>
    </row>
    <row r="60" spans="9:48" x14ac:dyDescent="0.25">
      <c r="S60">
        <f t="shared" si="40"/>
        <v>847.09632999999997</v>
      </c>
      <c r="AC60">
        <f t="shared" si="41"/>
        <v>0.91735</v>
      </c>
      <c r="AG60">
        <v>-0.21884000000000001</v>
      </c>
      <c r="AH60">
        <v>-0.31287999999999999</v>
      </c>
      <c r="AI60">
        <v>-0.35132000000000002</v>
      </c>
      <c r="AJ60">
        <v>-0.61351999999999995</v>
      </c>
      <c r="AK60">
        <v>-1.2005699999999999</v>
      </c>
      <c r="AQ60">
        <v>1.8435600000000001</v>
      </c>
      <c r="AR60">
        <v>1.9234100000000001</v>
      </c>
      <c r="AS60">
        <v>1.95604</v>
      </c>
      <c r="AT60">
        <v>2.59592</v>
      </c>
      <c r="AU60">
        <v>3.4944000000000002</v>
      </c>
    </row>
    <row r="61" spans="9:48" x14ac:dyDescent="0.25">
      <c r="S61">
        <f t="shared" si="40"/>
        <v>686.56710999999996</v>
      </c>
      <c r="AC61">
        <f t="shared" si="41"/>
        <v>0.30619000000000002</v>
      </c>
    </row>
    <row r="62" spans="9:48" x14ac:dyDescent="0.25">
      <c r="S62">
        <f t="shared" si="40"/>
        <v>809.53303000000005</v>
      </c>
      <c r="AC62">
        <f t="shared" si="41"/>
        <v>0.45495999999999998</v>
      </c>
    </row>
    <row r="63" spans="9:48" x14ac:dyDescent="0.25">
      <c r="S63">
        <f t="shared" si="40"/>
        <v>776.85114999999996</v>
      </c>
      <c r="AC63">
        <f t="shared" si="41"/>
        <v>1.2816799999999999</v>
      </c>
      <c r="AG63">
        <v>-0.92684999999999995</v>
      </c>
      <c r="AH63">
        <v>-1.0725100000000001</v>
      </c>
      <c r="AI63">
        <v>-1.15665</v>
      </c>
      <c r="AJ63">
        <v>-1.54332</v>
      </c>
      <c r="AQ63">
        <v>2.0965600000000002</v>
      </c>
      <c r="AR63">
        <v>2.3565800000000001</v>
      </c>
      <c r="AS63">
        <v>2.54914</v>
      </c>
      <c r="AT63">
        <v>3.1896599999999999</v>
      </c>
    </row>
    <row r="64" spans="9:48" x14ac:dyDescent="0.25">
      <c r="AG64">
        <v>-0.76881999999999995</v>
      </c>
      <c r="AH64">
        <v>-0.92081000000000002</v>
      </c>
      <c r="AI64">
        <v>-1.01677</v>
      </c>
      <c r="AJ64">
        <v>-1.39168</v>
      </c>
      <c r="AQ64">
        <v>2.12297</v>
      </c>
      <c r="AR64">
        <v>2.3162699999999998</v>
      </c>
      <c r="AS64">
        <v>2.56941</v>
      </c>
      <c r="AT64">
        <v>3.1617099999999998</v>
      </c>
    </row>
    <row r="65" spans="33:46" x14ac:dyDescent="0.25">
      <c r="AG65">
        <v>-0.61721000000000004</v>
      </c>
      <c r="AH65">
        <v>-0.75036000000000003</v>
      </c>
      <c r="AI65">
        <v>-0.88144999999999996</v>
      </c>
      <c r="AJ65">
        <v>-1.2989900000000001</v>
      </c>
      <c r="AQ65">
        <v>1.9777400000000001</v>
      </c>
      <c r="AR65">
        <v>2.2264900000000001</v>
      </c>
      <c r="AS65">
        <v>2.61754</v>
      </c>
      <c r="AT65">
        <v>3.2618299999999998</v>
      </c>
    </row>
    <row r="66" spans="33:46" x14ac:dyDescent="0.25">
      <c r="AG66">
        <v>-0.55179999999999996</v>
      </c>
      <c r="AH66">
        <v>-0.56540000000000001</v>
      </c>
      <c r="AI66">
        <v>-0.75377000000000005</v>
      </c>
      <c r="AJ66">
        <v>-1.2716400000000001</v>
      </c>
      <c r="AQ66">
        <v>2.0844900000000002</v>
      </c>
      <c r="AR66">
        <v>2.1947700000000001</v>
      </c>
      <c r="AS66">
        <v>2.6070700000000002</v>
      </c>
      <c r="AT66">
        <v>3.3439999999999999</v>
      </c>
    </row>
    <row r="67" spans="33:46" x14ac:dyDescent="0.25">
      <c r="AG67">
        <v>-0.41453000000000001</v>
      </c>
      <c r="AH67">
        <v>-0.45230999999999999</v>
      </c>
      <c r="AI67">
        <v>-0.65737999999999996</v>
      </c>
      <c r="AJ67">
        <v>-1.2265600000000001</v>
      </c>
      <c r="AQ67">
        <v>2.0220500000000001</v>
      </c>
      <c r="AR67">
        <v>2.0562299999999998</v>
      </c>
      <c r="AS67">
        <v>2.5872899999999999</v>
      </c>
      <c r="AT67">
        <v>3.48034</v>
      </c>
    </row>
    <row r="68" spans="33:46" x14ac:dyDescent="0.25">
      <c r="AG68">
        <v>-0.31287999999999999</v>
      </c>
      <c r="AH68">
        <v>-0.35132000000000002</v>
      </c>
      <c r="AI68">
        <v>-0.61351999999999995</v>
      </c>
      <c r="AJ68">
        <v>-1.2005699999999999</v>
      </c>
      <c r="AQ68">
        <v>1.9234100000000001</v>
      </c>
      <c r="AR68">
        <v>1.95604</v>
      </c>
      <c r="AS68">
        <v>2.59592</v>
      </c>
      <c r="AT68">
        <v>3.4944000000000002</v>
      </c>
    </row>
    <row r="71" spans="33:46" x14ac:dyDescent="0.25">
      <c r="AG71">
        <v>-1.0725100000000001</v>
      </c>
      <c r="AH71">
        <v>-1.15665</v>
      </c>
      <c r="AI71">
        <v>-1.54332</v>
      </c>
      <c r="AQ71">
        <v>2.3565800000000001</v>
      </c>
      <c r="AR71">
        <v>2.54914</v>
      </c>
      <c r="AS71">
        <v>3.1896599999999999</v>
      </c>
    </row>
    <row r="72" spans="33:46" x14ac:dyDescent="0.25">
      <c r="AG72">
        <v>-0.92081000000000002</v>
      </c>
      <c r="AH72">
        <v>-1.01677</v>
      </c>
      <c r="AI72">
        <v>-1.39168</v>
      </c>
      <c r="AQ72">
        <v>2.3162699999999998</v>
      </c>
      <c r="AR72">
        <v>2.56941</v>
      </c>
      <c r="AS72">
        <v>3.1617099999999998</v>
      </c>
    </row>
    <row r="73" spans="33:46" x14ac:dyDescent="0.25">
      <c r="AG73">
        <v>-0.75036000000000003</v>
      </c>
      <c r="AH73">
        <v>-0.88144999999999996</v>
      </c>
      <c r="AI73">
        <v>-1.2989900000000001</v>
      </c>
      <c r="AQ73">
        <v>2.2264900000000001</v>
      </c>
      <c r="AR73">
        <v>2.61754</v>
      </c>
      <c r="AS73">
        <v>3.2618299999999998</v>
      </c>
    </row>
    <row r="74" spans="33:46" x14ac:dyDescent="0.25">
      <c r="AG74">
        <v>-0.56540000000000001</v>
      </c>
      <c r="AH74">
        <v>-0.75377000000000005</v>
      </c>
      <c r="AI74">
        <v>-1.2716400000000001</v>
      </c>
      <c r="AQ74">
        <v>2.1947700000000001</v>
      </c>
      <c r="AR74">
        <v>2.6070700000000002</v>
      </c>
      <c r="AS74">
        <v>3.3439999999999999</v>
      </c>
    </row>
    <row r="75" spans="33:46" x14ac:dyDescent="0.25">
      <c r="AG75">
        <v>-0.45230999999999999</v>
      </c>
      <c r="AH75">
        <v>-0.65737999999999996</v>
      </c>
      <c r="AI75">
        <v>-1.2265600000000001</v>
      </c>
      <c r="AQ75">
        <v>2.0562299999999998</v>
      </c>
      <c r="AR75">
        <v>2.5872899999999999</v>
      </c>
      <c r="AS75">
        <v>3.48034</v>
      </c>
    </row>
    <row r="76" spans="33:46" x14ac:dyDescent="0.25">
      <c r="AG76">
        <v>-0.35132000000000002</v>
      </c>
      <c r="AH76">
        <v>-0.61351999999999995</v>
      </c>
      <c r="AI76">
        <v>-1.2005699999999999</v>
      </c>
      <c r="AQ76">
        <v>1.95604</v>
      </c>
      <c r="AR76">
        <v>2.59592</v>
      </c>
      <c r="AS76">
        <v>3.4944000000000002</v>
      </c>
    </row>
    <row r="79" spans="33:46" x14ac:dyDescent="0.25">
      <c r="AG79">
        <v>-1.15665</v>
      </c>
      <c r="AH79">
        <v>-1.54332</v>
      </c>
      <c r="AQ79">
        <v>2.54914</v>
      </c>
      <c r="AR79">
        <v>3.1896599999999999</v>
      </c>
    </row>
    <row r="80" spans="33:46" x14ac:dyDescent="0.25">
      <c r="AG80">
        <v>-1.01677</v>
      </c>
      <c r="AH80">
        <v>-1.39168</v>
      </c>
      <c r="AQ80">
        <v>2.56941</v>
      </c>
      <c r="AR80">
        <v>3.1617099999999998</v>
      </c>
    </row>
    <row r="81" spans="33:44" x14ac:dyDescent="0.25">
      <c r="AG81">
        <v>-0.88144999999999996</v>
      </c>
      <c r="AH81">
        <v>-1.2989900000000001</v>
      </c>
      <c r="AQ81">
        <v>2.61754</v>
      </c>
      <c r="AR81">
        <v>3.2618299999999998</v>
      </c>
    </row>
    <row r="82" spans="33:44" x14ac:dyDescent="0.25">
      <c r="AG82">
        <v>-0.75377000000000005</v>
      </c>
      <c r="AH82">
        <v>-1.2716400000000001</v>
      </c>
      <c r="AQ82">
        <v>2.6070700000000002</v>
      </c>
      <c r="AR82">
        <v>3.3439999999999999</v>
      </c>
    </row>
    <row r="83" spans="33:44" x14ac:dyDescent="0.25">
      <c r="AG83">
        <v>-0.65737999999999996</v>
      </c>
      <c r="AH83">
        <v>-1.2265600000000001</v>
      </c>
      <c r="AQ83">
        <v>2.5872899999999999</v>
      </c>
      <c r="AR83">
        <v>3.48034</v>
      </c>
    </row>
    <row r="84" spans="33:44" x14ac:dyDescent="0.25">
      <c r="AG84">
        <v>-0.61351999999999995</v>
      </c>
      <c r="AH84">
        <v>-1.2005699999999999</v>
      </c>
      <c r="AQ84">
        <v>2.59592</v>
      </c>
      <c r="AR84">
        <v>3.4944000000000002</v>
      </c>
    </row>
    <row r="87" spans="33:44" x14ac:dyDescent="0.25">
      <c r="AG87">
        <v>-1.54332</v>
      </c>
      <c r="AQ87">
        <v>3.1896599999999999</v>
      </c>
    </row>
    <row r="88" spans="33:44" x14ac:dyDescent="0.25">
      <c r="AG88">
        <v>-1.39168</v>
      </c>
      <c r="AQ88">
        <v>3.1617099999999998</v>
      </c>
    </row>
    <row r="89" spans="33:44" x14ac:dyDescent="0.25">
      <c r="AG89">
        <v>-1.2989900000000001</v>
      </c>
      <c r="AQ89">
        <v>3.2618299999999998</v>
      </c>
    </row>
    <row r="90" spans="33:44" x14ac:dyDescent="0.25">
      <c r="AG90">
        <v>-1.2716400000000001</v>
      </c>
      <c r="AQ90">
        <v>3.3439999999999999</v>
      </c>
    </row>
    <row r="91" spans="33:44" x14ac:dyDescent="0.25">
      <c r="AG91">
        <v>-1.2265600000000001</v>
      </c>
      <c r="AQ91">
        <v>3.48034</v>
      </c>
    </row>
    <row r="92" spans="33:44" x14ac:dyDescent="0.25">
      <c r="AG92">
        <v>-1.2005699999999999</v>
      </c>
      <c r="AQ92">
        <v>3.4944000000000002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A4BD-476C-4D2B-AD34-78BF59B04FC7}">
  <dimension ref="A1:H97"/>
  <sheetViews>
    <sheetView workbookViewId="0">
      <selection activeCell="P27" sqref="P27"/>
    </sheetView>
  </sheetViews>
  <sheetFormatPr defaultRowHeight="15" x14ac:dyDescent="0.25"/>
  <sheetData>
    <row r="1" spans="1:8" x14ac:dyDescent="0.25">
      <c r="A1" t="s">
        <v>21</v>
      </c>
      <c r="B1" t="s">
        <v>22</v>
      </c>
      <c r="D1" t="s">
        <v>27</v>
      </c>
      <c r="E1" t="s">
        <v>29</v>
      </c>
      <c r="F1" t="s">
        <v>28</v>
      </c>
      <c r="G1" t="s">
        <v>21</v>
      </c>
      <c r="H1" t="s">
        <v>22</v>
      </c>
    </row>
    <row r="2" spans="1:8" x14ac:dyDescent="0.25">
      <c r="A2" s="1">
        <v>0.25</v>
      </c>
      <c r="B2" s="1">
        <v>0</v>
      </c>
      <c r="D2">
        <v>0</v>
      </c>
      <c r="E2">
        <f>D2*0.85</f>
        <v>0</v>
      </c>
      <c r="F2">
        <v>0</v>
      </c>
      <c r="G2">
        <f>(100-E2)/100</f>
        <v>1</v>
      </c>
      <c r="H2">
        <f>(100-F2)/100</f>
        <v>1</v>
      </c>
    </row>
    <row r="3" spans="1:8" x14ac:dyDescent="0.25">
      <c r="A3" s="1">
        <v>0.375</v>
      </c>
      <c r="B3" s="1">
        <v>0</v>
      </c>
      <c r="D3">
        <v>0</v>
      </c>
      <c r="E3">
        <f t="shared" ref="E3:E66" si="0">D3*0.85</f>
        <v>0</v>
      </c>
      <c r="F3">
        <v>0.01</v>
      </c>
      <c r="G3">
        <f t="shared" ref="G3:G66" si="1">(100-E3)/100</f>
        <v>1</v>
      </c>
      <c r="H3">
        <f t="shared" ref="H3:H66" si="2">(100-F3)/100</f>
        <v>0.9998999999999999</v>
      </c>
    </row>
    <row r="4" spans="1:8" x14ac:dyDescent="0.25">
      <c r="A4" s="1">
        <v>0.5</v>
      </c>
      <c r="B4" s="1">
        <v>0</v>
      </c>
      <c r="D4">
        <v>0</v>
      </c>
      <c r="E4">
        <f t="shared" si="0"/>
        <v>0</v>
      </c>
      <c r="F4">
        <v>0.05</v>
      </c>
      <c r="G4">
        <f t="shared" si="1"/>
        <v>1</v>
      </c>
      <c r="H4">
        <f t="shared" si="2"/>
        <v>0.99950000000000006</v>
      </c>
    </row>
    <row r="5" spans="1:8" x14ac:dyDescent="0.25">
      <c r="A5" s="1">
        <v>0.625</v>
      </c>
      <c r="B5" s="1">
        <v>0</v>
      </c>
      <c r="D5">
        <v>0</v>
      </c>
      <c r="E5">
        <f t="shared" si="0"/>
        <v>0</v>
      </c>
      <c r="F5">
        <v>0.1</v>
      </c>
      <c r="G5">
        <f t="shared" si="1"/>
        <v>1</v>
      </c>
      <c r="H5">
        <f t="shared" si="2"/>
        <v>0.99900000000000011</v>
      </c>
    </row>
    <row r="6" spans="1:8" x14ac:dyDescent="0.25">
      <c r="A6" s="1">
        <v>0.75</v>
      </c>
      <c r="B6" s="1">
        <v>0</v>
      </c>
      <c r="D6">
        <v>0</v>
      </c>
      <c r="E6">
        <f t="shared" si="0"/>
        <v>0</v>
      </c>
      <c r="F6">
        <v>0.2</v>
      </c>
      <c r="G6">
        <f t="shared" si="1"/>
        <v>1</v>
      </c>
      <c r="H6">
        <f t="shared" si="2"/>
        <v>0.998</v>
      </c>
    </row>
    <row r="7" spans="1:8" x14ac:dyDescent="0.25">
      <c r="A7" s="1">
        <v>0.875</v>
      </c>
      <c r="B7" s="1">
        <v>0</v>
      </c>
      <c r="D7">
        <v>0</v>
      </c>
      <c r="E7">
        <f t="shared" si="0"/>
        <v>0</v>
      </c>
      <c r="F7">
        <v>0.5</v>
      </c>
      <c r="G7">
        <f t="shared" si="1"/>
        <v>1</v>
      </c>
      <c r="H7">
        <f t="shared" si="2"/>
        <v>0.995</v>
      </c>
    </row>
    <row r="8" spans="1:8" x14ac:dyDescent="0.25">
      <c r="A8" s="1">
        <v>0.25</v>
      </c>
      <c r="B8" s="1">
        <v>0.125</v>
      </c>
      <c r="D8">
        <v>0</v>
      </c>
      <c r="E8">
        <f t="shared" si="0"/>
        <v>0</v>
      </c>
      <c r="F8">
        <v>1</v>
      </c>
      <c r="G8">
        <f t="shared" si="1"/>
        <v>1</v>
      </c>
      <c r="H8">
        <f t="shared" si="2"/>
        <v>0.99</v>
      </c>
    </row>
    <row r="9" spans="1:8" x14ac:dyDescent="0.25">
      <c r="A9" s="1">
        <v>0.375</v>
      </c>
      <c r="B9" s="1">
        <v>0.125</v>
      </c>
      <c r="D9">
        <v>0</v>
      </c>
      <c r="E9">
        <f t="shared" si="0"/>
        <v>0</v>
      </c>
      <c r="F9">
        <v>2</v>
      </c>
      <c r="G9">
        <f t="shared" si="1"/>
        <v>1</v>
      </c>
      <c r="H9">
        <f t="shared" si="2"/>
        <v>0.98</v>
      </c>
    </row>
    <row r="10" spans="1:8" x14ac:dyDescent="0.25">
      <c r="A10" s="1">
        <v>0.5</v>
      </c>
      <c r="B10" s="1">
        <v>0.125</v>
      </c>
      <c r="D10">
        <v>10</v>
      </c>
      <c r="E10">
        <f t="shared" si="0"/>
        <v>8.5</v>
      </c>
      <c r="F10">
        <v>0</v>
      </c>
      <c r="G10">
        <f t="shared" si="1"/>
        <v>0.91500000000000004</v>
      </c>
      <c r="H10">
        <f t="shared" si="2"/>
        <v>1</v>
      </c>
    </row>
    <row r="11" spans="1:8" x14ac:dyDescent="0.25">
      <c r="A11" s="1">
        <v>0.625</v>
      </c>
      <c r="B11" s="1">
        <v>0.125</v>
      </c>
      <c r="D11">
        <v>10</v>
      </c>
      <c r="E11">
        <f t="shared" si="0"/>
        <v>8.5</v>
      </c>
      <c r="F11">
        <v>0.01</v>
      </c>
      <c r="G11">
        <f t="shared" si="1"/>
        <v>0.91500000000000004</v>
      </c>
      <c r="H11">
        <f t="shared" si="2"/>
        <v>0.9998999999999999</v>
      </c>
    </row>
    <row r="12" spans="1:8" x14ac:dyDescent="0.25">
      <c r="A12" s="1">
        <v>0.75</v>
      </c>
      <c r="B12" s="1">
        <v>0.125</v>
      </c>
      <c r="D12">
        <v>10</v>
      </c>
      <c r="E12">
        <f t="shared" si="0"/>
        <v>8.5</v>
      </c>
      <c r="F12">
        <v>0.05</v>
      </c>
      <c r="G12">
        <f t="shared" si="1"/>
        <v>0.91500000000000004</v>
      </c>
      <c r="H12">
        <f t="shared" si="2"/>
        <v>0.99950000000000006</v>
      </c>
    </row>
    <row r="13" spans="1:8" x14ac:dyDescent="0.25">
      <c r="A13" s="1">
        <v>0.875</v>
      </c>
      <c r="B13" s="1">
        <v>0.125</v>
      </c>
      <c r="D13">
        <v>10</v>
      </c>
      <c r="E13">
        <f t="shared" si="0"/>
        <v>8.5</v>
      </c>
      <c r="F13">
        <v>0.1</v>
      </c>
      <c r="G13">
        <f t="shared" si="1"/>
        <v>0.91500000000000004</v>
      </c>
      <c r="H13">
        <f t="shared" si="2"/>
        <v>0.99900000000000011</v>
      </c>
    </row>
    <row r="14" spans="1:8" x14ac:dyDescent="0.25">
      <c r="A14" s="1">
        <v>0.25</v>
      </c>
      <c r="B14" s="1">
        <v>0.25</v>
      </c>
      <c r="D14">
        <v>10</v>
      </c>
      <c r="E14">
        <f t="shared" si="0"/>
        <v>8.5</v>
      </c>
      <c r="F14">
        <v>0.2</v>
      </c>
      <c r="G14">
        <f t="shared" si="1"/>
        <v>0.91500000000000004</v>
      </c>
      <c r="H14">
        <f t="shared" si="2"/>
        <v>0.998</v>
      </c>
    </row>
    <row r="15" spans="1:8" x14ac:dyDescent="0.25">
      <c r="A15" s="1">
        <v>0.375</v>
      </c>
      <c r="B15" s="1">
        <v>0.25</v>
      </c>
      <c r="D15">
        <v>10</v>
      </c>
      <c r="E15">
        <f t="shared" si="0"/>
        <v>8.5</v>
      </c>
      <c r="F15">
        <v>0.5</v>
      </c>
      <c r="G15">
        <f t="shared" si="1"/>
        <v>0.91500000000000004</v>
      </c>
      <c r="H15">
        <f t="shared" si="2"/>
        <v>0.995</v>
      </c>
    </row>
    <row r="16" spans="1:8" x14ac:dyDescent="0.25">
      <c r="A16" s="1">
        <v>0.5</v>
      </c>
      <c r="B16" s="1">
        <v>0.25</v>
      </c>
      <c r="D16">
        <v>10</v>
      </c>
      <c r="E16">
        <f t="shared" si="0"/>
        <v>8.5</v>
      </c>
      <c r="F16">
        <v>1</v>
      </c>
      <c r="G16">
        <f t="shared" si="1"/>
        <v>0.91500000000000004</v>
      </c>
      <c r="H16">
        <f t="shared" si="2"/>
        <v>0.99</v>
      </c>
    </row>
    <row r="17" spans="1:8" x14ac:dyDescent="0.25">
      <c r="A17" s="1">
        <v>0.625</v>
      </c>
      <c r="B17" s="1">
        <v>0.25</v>
      </c>
      <c r="D17">
        <v>10</v>
      </c>
      <c r="E17">
        <f t="shared" si="0"/>
        <v>8.5</v>
      </c>
      <c r="F17">
        <v>2</v>
      </c>
      <c r="G17">
        <f t="shared" si="1"/>
        <v>0.91500000000000004</v>
      </c>
      <c r="H17">
        <f t="shared" si="2"/>
        <v>0.98</v>
      </c>
    </row>
    <row r="18" spans="1:8" x14ac:dyDescent="0.25">
      <c r="A18" s="1">
        <v>0.75</v>
      </c>
      <c r="B18" s="1">
        <v>0.25</v>
      </c>
      <c r="D18">
        <v>30</v>
      </c>
      <c r="E18">
        <f t="shared" si="0"/>
        <v>25.5</v>
      </c>
      <c r="F18">
        <v>0</v>
      </c>
      <c r="G18">
        <f t="shared" si="1"/>
        <v>0.745</v>
      </c>
      <c r="H18">
        <f t="shared" si="2"/>
        <v>1</v>
      </c>
    </row>
    <row r="19" spans="1:8" x14ac:dyDescent="0.25">
      <c r="A19" s="1">
        <v>0.875</v>
      </c>
      <c r="B19" s="1">
        <v>0.25</v>
      </c>
      <c r="D19">
        <v>30</v>
      </c>
      <c r="E19">
        <f t="shared" si="0"/>
        <v>25.5</v>
      </c>
      <c r="F19">
        <v>0.01</v>
      </c>
      <c r="G19">
        <f t="shared" si="1"/>
        <v>0.745</v>
      </c>
      <c r="H19">
        <f t="shared" si="2"/>
        <v>0.9998999999999999</v>
      </c>
    </row>
    <row r="20" spans="1:8" x14ac:dyDescent="0.25">
      <c r="A20" s="1">
        <v>0.25</v>
      </c>
      <c r="B20" s="1">
        <v>0.375</v>
      </c>
      <c r="D20">
        <v>30</v>
      </c>
      <c r="E20">
        <f t="shared" si="0"/>
        <v>25.5</v>
      </c>
      <c r="F20">
        <v>0.05</v>
      </c>
      <c r="G20">
        <f t="shared" si="1"/>
        <v>0.745</v>
      </c>
      <c r="H20">
        <f t="shared" si="2"/>
        <v>0.99950000000000006</v>
      </c>
    </row>
    <row r="21" spans="1:8" x14ac:dyDescent="0.25">
      <c r="A21" s="1">
        <v>0.375</v>
      </c>
      <c r="B21" s="1">
        <v>0.375</v>
      </c>
      <c r="D21">
        <v>30</v>
      </c>
      <c r="E21">
        <f t="shared" si="0"/>
        <v>25.5</v>
      </c>
      <c r="F21">
        <v>0.1</v>
      </c>
      <c r="G21">
        <f t="shared" si="1"/>
        <v>0.745</v>
      </c>
      <c r="H21">
        <f t="shared" si="2"/>
        <v>0.99900000000000011</v>
      </c>
    </row>
    <row r="22" spans="1:8" x14ac:dyDescent="0.25">
      <c r="A22" s="1">
        <v>0.5</v>
      </c>
      <c r="B22" s="1">
        <v>0.375</v>
      </c>
      <c r="D22">
        <v>30</v>
      </c>
      <c r="E22">
        <f t="shared" si="0"/>
        <v>25.5</v>
      </c>
      <c r="F22">
        <v>0.2</v>
      </c>
      <c r="G22">
        <f t="shared" si="1"/>
        <v>0.745</v>
      </c>
      <c r="H22">
        <f t="shared" si="2"/>
        <v>0.998</v>
      </c>
    </row>
    <row r="23" spans="1:8" x14ac:dyDescent="0.25">
      <c r="A23" s="1">
        <v>0.625</v>
      </c>
      <c r="B23" s="1">
        <v>0.375</v>
      </c>
      <c r="D23">
        <v>30</v>
      </c>
      <c r="E23">
        <f t="shared" si="0"/>
        <v>25.5</v>
      </c>
      <c r="F23">
        <v>0.5</v>
      </c>
      <c r="G23">
        <f t="shared" si="1"/>
        <v>0.745</v>
      </c>
      <c r="H23">
        <f t="shared" si="2"/>
        <v>0.995</v>
      </c>
    </row>
    <row r="24" spans="1:8" x14ac:dyDescent="0.25">
      <c r="A24" s="1">
        <v>0.75</v>
      </c>
      <c r="B24" s="1">
        <v>0.375</v>
      </c>
      <c r="D24">
        <v>30</v>
      </c>
      <c r="E24">
        <f t="shared" si="0"/>
        <v>25.5</v>
      </c>
      <c r="F24">
        <v>1</v>
      </c>
      <c r="G24">
        <f t="shared" si="1"/>
        <v>0.745</v>
      </c>
      <c r="H24">
        <f t="shared" si="2"/>
        <v>0.99</v>
      </c>
    </row>
    <row r="25" spans="1:8" x14ac:dyDescent="0.25">
      <c r="A25" s="1">
        <v>0.875</v>
      </c>
      <c r="B25" s="1">
        <v>0.375</v>
      </c>
      <c r="D25">
        <v>30</v>
      </c>
      <c r="E25">
        <f t="shared" si="0"/>
        <v>25.5</v>
      </c>
      <c r="F25">
        <v>2</v>
      </c>
      <c r="G25">
        <f t="shared" si="1"/>
        <v>0.745</v>
      </c>
      <c r="H25">
        <f t="shared" si="2"/>
        <v>0.98</v>
      </c>
    </row>
    <row r="26" spans="1:8" x14ac:dyDescent="0.25">
      <c r="A26" s="1">
        <v>0.25</v>
      </c>
      <c r="B26" s="1">
        <v>0.5</v>
      </c>
      <c r="D26">
        <v>50</v>
      </c>
      <c r="E26">
        <f t="shared" si="0"/>
        <v>42.5</v>
      </c>
      <c r="F26">
        <v>0</v>
      </c>
      <c r="G26">
        <f t="shared" si="1"/>
        <v>0.57499999999999996</v>
      </c>
      <c r="H26">
        <f t="shared" si="2"/>
        <v>1</v>
      </c>
    </row>
    <row r="27" spans="1:8" x14ac:dyDescent="0.25">
      <c r="A27" s="1">
        <v>0.375</v>
      </c>
      <c r="B27" s="1">
        <v>0.5</v>
      </c>
      <c r="D27">
        <v>50</v>
      </c>
      <c r="E27">
        <f t="shared" si="0"/>
        <v>42.5</v>
      </c>
      <c r="F27">
        <v>0.01</v>
      </c>
      <c r="G27">
        <f t="shared" si="1"/>
        <v>0.57499999999999996</v>
      </c>
      <c r="H27">
        <f t="shared" si="2"/>
        <v>0.9998999999999999</v>
      </c>
    </row>
    <row r="28" spans="1:8" x14ac:dyDescent="0.25">
      <c r="A28" s="1">
        <v>0.5</v>
      </c>
      <c r="B28" s="1">
        <v>0.5</v>
      </c>
      <c r="D28">
        <v>50</v>
      </c>
      <c r="E28">
        <f t="shared" si="0"/>
        <v>42.5</v>
      </c>
      <c r="F28">
        <v>0.05</v>
      </c>
      <c r="G28">
        <f t="shared" si="1"/>
        <v>0.57499999999999996</v>
      </c>
      <c r="H28">
        <f t="shared" si="2"/>
        <v>0.99950000000000006</v>
      </c>
    </row>
    <row r="29" spans="1:8" x14ac:dyDescent="0.25">
      <c r="A29" s="1">
        <v>0.625</v>
      </c>
      <c r="B29" s="1">
        <v>0.5</v>
      </c>
      <c r="D29">
        <v>50</v>
      </c>
      <c r="E29">
        <f t="shared" si="0"/>
        <v>42.5</v>
      </c>
      <c r="F29">
        <v>0.1</v>
      </c>
      <c r="G29">
        <f t="shared" si="1"/>
        <v>0.57499999999999996</v>
      </c>
      <c r="H29">
        <f t="shared" si="2"/>
        <v>0.99900000000000011</v>
      </c>
    </row>
    <row r="30" spans="1:8" x14ac:dyDescent="0.25">
      <c r="A30" s="1">
        <v>0.75</v>
      </c>
      <c r="B30" s="1">
        <v>0.5</v>
      </c>
      <c r="D30">
        <v>50</v>
      </c>
      <c r="E30">
        <f t="shared" si="0"/>
        <v>42.5</v>
      </c>
      <c r="F30">
        <v>0.2</v>
      </c>
      <c r="G30">
        <f t="shared" si="1"/>
        <v>0.57499999999999996</v>
      </c>
      <c r="H30">
        <f t="shared" si="2"/>
        <v>0.998</v>
      </c>
    </row>
    <row r="31" spans="1:8" x14ac:dyDescent="0.25">
      <c r="A31" s="1">
        <v>0.875</v>
      </c>
      <c r="B31" s="1">
        <v>0.5</v>
      </c>
      <c r="D31">
        <v>50</v>
      </c>
      <c r="E31">
        <f t="shared" si="0"/>
        <v>42.5</v>
      </c>
      <c r="F31">
        <v>0.5</v>
      </c>
      <c r="G31">
        <f t="shared" si="1"/>
        <v>0.57499999999999996</v>
      </c>
      <c r="H31">
        <f t="shared" si="2"/>
        <v>0.995</v>
      </c>
    </row>
    <row r="32" spans="1:8" x14ac:dyDescent="0.25">
      <c r="A32" s="1">
        <v>0.25</v>
      </c>
      <c r="B32" s="1">
        <v>0.625</v>
      </c>
      <c r="D32">
        <v>50</v>
      </c>
      <c r="E32">
        <f t="shared" si="0"/>
        <v>42.5</v>
      </c>
      <c r="F32">
        <v>1</v>
      </c>
      <c r="G32">
        <f t="shared" si="1"/>
        <v>0.57499999999999996</v>
      </c>
      <c r="H32">
        <f t="shared" si="2"/>
        <v>0.99</v>
      </c>
    </row>
    <row r="33" spans="1:8" x14ac:dyDescent="0.25">
      <c r="A33" s="1">
        <v>0.375</v>
      </c>
      <c r="B33" s="1">
        <v>0.625</v>
      </c>
      <c r="D33">
        <v>50</v>
      </c>
      <c r="E33">
        <f t="shared" si="0"/>
        <v>42.5</v>
      </c>
      <c r="F33">
        <v>2</v>
      </c>
      <c r="G33">
        <f t="shared" si="1"/>
        <v>0.57499999999999996</v>
      </c>
      <c r="H33">
        <f t="shared" si="2"/>
        <v>0.98</v>
      </c>
    </row>
    <row r="34" spans="1:8" x14ac:dyDescent="0.25">
      <c r="A34" s="1">
        <v>0.5</v>
      </c>
      <c r="B34" s="1">
        <v>0.625</v>
      </c>
      <c r="D34">
        <v>80</v>
      </c>
      <c r="E34">
        <f t="shared" si="0"/>
        <v>68</v>
      </c>
      <c r="F34">
        <v>0</v>
      </c>
      <c r="G34">
        <f t="shared" si="1"/>
        <v>0.32</v>
      </c>
      <c r="H34">
        <f t="shared" si="2"/>
        <v>1</v>
      </c>
    </row>
    <row r="35" spans="1:8" x14ac:dyDescent="0.25">
      <c r="A35" s="1">
        <v>0.625</v>
      </c>
      <c r="B35" s="1">
        <v>0.625</v>
      </c>
      <c r="D35">
        <v>80</v>
      </c>
      <c r="E35">
        <f t="shared" si="0"/>
        <v>68</v>
      </c>
      <c r="F35">
        <v>0.01</v>
      </c>
      <c r="G35">
        <f t="shared" si="1"/>
        <v>0.32</v>
      </c>
      <c r="H35">
        <f t="shared" si="2"/>
        <v>0.9998999999999999</v>
      </c>
    </row>
    <row r="36" spans="1:8" x14ac:dyDescent="0.25">
      <c r="A36" s="1">
        <v>0.75</v>
      </c>
      <c r="B36" s="1">
        <v>0.625</v>
      </c>
      <c r="D36">
        <v>80</v>
      </c>
      <c r="E36">
        <f t="shared" si="0"/>
        <v>68</v>
      </c>
      <c r="F36">
        <v>0.05</v>
      </c>
      <c r="G36">
        <f t="shared" si="1"/>
        <v>0.32</v>
      </c>
      <c r="H36">
        <f t="shared" si="2"/>
        <v>0.99950000000000006</v>
      </c>
    </row>
    <row r="37" spans="1:8" x14ac:dyDescent="0.25">
      <c r="A37" s="1">
        <v>0.875</v>
      </c>
      <c r="B37" s="1">
        <v>0.625</v>
      </c>
      <c r="D37">
        <v>80</v>
      </c>
      <c r="E37">
        <f t="shared" si="0"/>
        <v>68</v>
      </c>
      <c r="F37">
        <v>0.1</v>
      </c>
      <c r="G37">
        <f t="shared" si="1"/>
        <v>0.32</v>
      </c>
      <c r="H37">
        <f t="shared" si="2"/>
        <v>0.99900000000000011</v>
      </c>
    </row>
    <row r="38" spans="1:8" x14ac:dyDescent="0.25">
      <c r="A38" s="1">
        <v>0.25</v>
      </c>
      <c r="B38" s="1">
        <v>0.75</v>
      </c>
      <c r="D38">
        <v>80</v>
      </c>
      <c r="E38">
        <f t="shared" si="0"/>
        <v>68</v>
      </c>
      <c r="F38">
        <v>0.2</v>
      </c>
      <c r="G38">
        <f t="shared" si="1"/>
        <v>0.32</v>
      </c>
      <c r="H38">
        <f t="shared" si="2"/>
        <v>0.998</v>
      </c>
    </row>
    <row r="39" spans="1:8" x14ac:dyDescent="0.25">
      <c r="A39" s="1">
        <v>0.375</v>
      </c>
      <c r="B39" s="1">
        <v>0.75</v>
      </c>
      <c r="D39">
        <v>80</v>
      </c>
      <c r="E39">
        <f t="shared" si="0"/>
        <v>68</v>
      </c>
      <c r="F39">
        <v>0.5</v>
      </c>
      <c r="G39">
        <f t="shared" si="1"/>
        <v>0.32</v>
      </c>
      <c r="H39">
        <f t="shared" si="2"/>
        <v>0.995</v>
      </c>
    </row>
    <row r="40" spans="1:8" x14ac:dyDescent="0.25">
      <c r="A40" s="1">
        <v>0.5</v>
      </c>
      <c r="B40" s="1">
        <v>0.75</v>
      </c>
      <c r="D40">
        <v>80</v>
      </c>
      <c r="E40">
        <f t="shared" si="0"/>
        <v>68</v>
      </c>
      <c r="F40">
        <v>1</v>
      </c>
      <c r="G40">
        <f t="shared" si="1"/>
        <v>0.32</v>
      </c>
      <c r="H40">
        <f t="shared" si="2"/>
        <v>0.99</v>
      </c>
    </row>
    <row r="41" spans="1:8" x14ac:dyDescent="0.25">
      <c r="A41" s="1">
        <v>0.625</v>
      </c>
      <c r="B41" s="1">
        <v>0.75</v>
      </c>
      <c r="D41">
        <v>80</v>
      </c>
      <c r="E41">
        <f t="shared" si="0"/>
        <v>68</v>
      </c>
      <c r="F41">
        <v>2</v>
      </c>
      <c r="G41">
        <f t="shared" si="1"/>
        <v>0.32</v>
      </c>
      <c r="H41">
        <f t="shared" si="2"/>
        <v>0.98</v>
      </c>
    </row>
    <row r="42" spans="1:8" x14ac:dyDescent="0.25">
      <c r="A42" s="1">
        <v>0.75</v>
      </c>
      <c r="B42" s="1">
        <v>0.75</v>
      </c>
      <c r="D42">
        <v>100</v>
      </c>
      <c r="E42">
        <f t="shared" si="0"/>
        <v>85</v>
      </c>
      <c r="F42">
        <v>0</v>
      </c>
      <c r="G42">
        <f t="shared" si="1"/>
        <v>0.15</v>
      </c>
      <c r="H42">
        <f t="shared" si="2"/>
        <v>1</v>
      </c>
    </row>
    <row r="43" spans="1:8" x14ac:dyDescent="0.25">
      <c r="A43" s="1">
        <v>0.875</v>
      </c>
      <c r="B43" s="1">
        <v>0.75</v>
      </c>
      <c r="D43">
        <v>100</v>
      </c>
      <c r="E43">
        <f t="shared" si="0"/>
        <v>85</v>
      </c>
      <c r="F43">
        <v>0.01</v>
      </c>
      <c r="G43">
        <f t="shared" si="1"/>
        <v>0.15</v>
      </c>
      <c r="H43">
        <f t="shared" si="2"/>
        <v>0.9998999999999999</v>
      </c>
    </row>
    <row r="44" spans="1:8" x14ac:dyDescent="0.25">
      <c r="A44" s="1">
        <v>0.25</v>
      </c>
      <c r="B44" s="1">
        <v>0.875</v>
      </c>
      <c r="D44">
        <v>100</v>
      </c>
      <c r="E44">
        <f t="shared" si="0"/>
        <v>85</v>
      </c>
      <c r="F44">
        <v>0.05</v>
      </c>
      <c r="G44">
        <f t="shared" si="1"/>
        <v>0.15</v>
      </c>
      <c r="H44">
        <f t="shared" si="2"/>
        <v>0.99950000000000006</v>
      </c>
    </row>
    <row r="45" spans="1:8" x14ac:dyDescent="0.25">
      <c r="A45" s="1">
        <v>0.375</v>
      </c>
      <c r="B45" s="1">
        <v>0.875</v>
      </c>
      <c r="D45">
        <v>100</v>
      </c>
      <c r="E45">
        <f t="shared" si="0"/>
        <v>85</v>
      </c>
      <c r="F45">
        <v>0.1</v>
      </c>
      <c r="G45">
        <f t="shared" si="1"/>
        <v>0.15</v>
      </c>
      <c r="H45">
        <f t="shared" si="2"/>
        <v>0.99900000000000011</v>
      </c>
    </row>
    <row r="46" spans="1:8" x14ac:dyDescent="0.25">
      <c r="A46" s="1">
        <v>0.5</v>
      </c>
      <c r="B46" s="1">
        <v>0.875</v>
      </c>
      <c r="D46">
        <v>100</v>
      </c>
      <c r="E46">
        <f t="shared" si="0"/>
        <v>85</v>
      </c>
      <c r="F46">
        <v>0.2</v>
      </c>
      <c r="G46">
        <f t="shared" si="1"/>
        <v>0.15</v>
      </c>
      <c r="H46">
        <f t="shared" si="2"/>
        <v>0.998</v>
      </c>
    </row>
    <row r="47" spans="1:8" x14ac:dyDescent="0.25">
      <c r="A47" s="1">
        <v>0.625</v>
      </c>
      <c r="B47" s="1">
        <v>0.875</v>
      </c>
      <c r="D47">
        <v>100</v>
      </c>
      <c r="E47">
        <f t="shared" si="0"/>
        <v>85</v>
      </c>
      <c r="F47">
        <v>0.5</v>
      </c>
      <c r="G47">
        <f t="shared" si="1"/>
        <v>0.15</v>
      </c>
      <c r="H47">
        <f t="shared" si="2"/>
        <v>0.995</v>
      </c>
    </row>
    <row r="48" spans="1:8" x14ac:dyDescent="0.25">
      <c r="A48" s="1">
        <v>0.75</v>
      </c>
      <c r="B48" s="1">
        <v>0.875</v>
      </c>
      <c r="D48">
        <v>100</v>
      </c>
      <c r="E48">
        <f t="shared" si="0"/>
        <v>85</v>
      </c>
      <c r="F48">
        <v>1</v>
      </c>
      <c r="G48">
        <f t="shared" si="1"/>
        <v>0.15</v>
      </c>
      <c r="H48">
        <f t="shared" si="2"/>
        <v>0.99</v>
      </c>
    </row>
    <row r="49" spans="1:8" x14ac:dyDescent="0.25">
      <c r="A49" s="1">
        <v>0.875</v>
      </c>
      <c r="B49" s="1">
        <v>0.875</v>
      </c>
      <c r="D49">
        <v>100</v>
      </c>
      <c r="E49">
        <f t="shared" si="0"/>
        <v>85</v>
      </c>
      <c r="F49">
        <v>2</v>
      </c>
      <c r="G49">
        <f t="shared" si="1"/>
        <v>0.15</v>
      </c>
      <c r="H49">
        <f t="shared" si="2"/>
        <v>0.98</v>
      </c>
    </row>
    <row r="50" spans="1:8" x14ac:dyDescent="0.25">
      <c r="A50" s="1"/>
      <c r="B50" s="1"/>
      <c r="D50">
        <v>0</v>
      </c>
      <c r="E50">
        <f t="shared" si="0"/>
        <v>0</v>
      </c>
      <c r="F50">
        <v>0</v>
      </c>
      <c r="G50">
        <f t="shared" si="1"/>
        <v>1</v>
      </c>
      <c r="H50">
        <f t="shared" si="2"/>
        <v>1</v>
      </c>
    </row>
    <row r="51" spans="1:8" x14ac:dyDescent="0.25">
      <c r="A51" s="1"/>
      <c r="B51" s="1"/>
      <c r="D51">
        <v>0</v>
      </c>
      <c r="E51">
        <f t="shared" si="0"/>
        <v>0</v>
      </c>
      <c r="F51">
        <v>5</v>
      </c>
      <c r="G51">
        <f t="shared" si="1"/>
        <v>1</v>
      </c>
      <c r="H51">
        <f t="shared" si="2"/>
        <v>0.95</v>
      </c>
    </row>
    <row r="52" spans="1:8" x14ac:dyDescent="0.25">
      <c r="A52" s="1"/>
      <c r="B52" s="1"/>
      <c r="D52">
        <v>0</v>
      </c>
      <c r="E52">
        <f t="shared" si="0"/>
        <v>0</v>
      </c>
      <c r="F52">
        <v>10</v>
      </c>
      <c r="G52">
        <f t="shared" si="1"/>
        <v>1</v>
      </c>
      <c r="H52">
        <f t="shared" si="2"/>
        <v>0.9</v>
      </c>
    </row>
    <row r="53" spans="1:8" x14ac:dyDescent="0.25">
      <c r="A53" s="1"/>
      <c r="B53" s="1"/>
      <c r="D53">
        <v>0</v>
      </c>
      <c r="E53">
        <f t="shared" si="0"/>
        <v>0</v>
      </c>
      <c r="F53">
        <v>25</v>
      </c>
      <c r="G53">
        <f t="shared" si="1"/>
        <v>1</v>
      </c>
      <c r="H53">
        <f t="shared" si="2"/>
        <v>0.75</v>
      </c>
    </row>
    <row r="54" spans="1:8" x14ac:dyDescent="0.25">
      <c r="A54" s="1"/>
      <c r="B54" s="1"/>
      <c r="D54">
        <v>0</v>
      </c>
      <c r="E54">
        <f t="shared" si="0"/>
        <v>0</v>
      </c>
      <c r="F54">
        <v>50</v>
      </c>
      <c r="G54">
        <f t="shared" si="1"/>
        <v>1</v>
      </c>
      <c r="H54">
        <f t="shared" si="2"/>
        <v>0.5</v>
      </c>
    </row>
    <row r="55" spans="1:8" x14ac:dyDescent="0.25">
      <c r="A55" s="1"/>
      <c r="B55" s="1"/>
      <c r="D55">
        <v>0</v>
      </c>
      <c r="E55">
        <f t="shared" si="0"/>
        <v>0</v>
      </c>
      <c r="F55">
        <v>75</v>
      </c>
      <c r="G55">
        <f t="shared" si="1"/>
        <v>1</v>
      </c>
      <c r="H55">
        <f t="shared" si="2"/>
        <v>0.25</v>
      </c>
    </row>
    <row r="56" spans="1:8" x14ac:dyDescent="0.25">
      <c r="A56" s="1"/>
      <c r="B56" s="1"/>
      <c r="D56">
        <v>0</v>
      </c>
      <c r="E56">
        <f t="shared" si="0"/>
        <v>0</v>
      </c>
      <c r="F56">
        <v>90</v>
      </c>
      <c r="G56">
        <f t="shared" si="1"/>
        <v>1</v>
      </c>
      <c r="H56">
        <f t="shared" si="2"/>
        <v>0.1</v>
      </c>
    </row>
    <row r="57" spans="1:8" x14ac:dyDescent="0.25">
      <c r="A57" s="1"/>
      <c r="B57" s="1"/>
      <c r="D57">
        <v>0</v>
      </c>
      <c r="E57">
        <f t="shared" si="0"/>
        <v>0</v>
      </c>
      <c r="F57">
        <v>100</v>
      </c>
      <c r="G57">
        <f t="shared" si="1"/>
        <v>1</v>
      </c>
      <c r="H57">
        <f t="shared" si="2"/>
        <v>0</v>
      </c>
    </row>
    <row r="58" spans="1:8" x14ac:dyDescent="0.25">
      <c r="D58">
        <v>10</v>
      </c>
      <c r="E58">
        <f t="shared" si="0"/>
        <v>8.5</v>
      </c>
      <c r="F58">
        <v>0</v>
      </c>
      <c r="G58">
        <f t="shared" si="1"/>
        <v>0.91500000000000004</v>
      </c>
      <c r="H58">
        <f t="shared" si="2"/>
        <v>1</v>
      </c>
    </row>
    <row r="59" spans="1:8" x14ac:dyDescent="0.25">
      <c r="D59">
        <v>10</v>
      </c>
      <c r="E59">
        <f t="shared" si="0"/>
        <v>8.5</v>
      </c>
      <c r="F59">
        <v>5</v>
      </c>
      <c r="G59">
        <f t="shared" si="1"/>
        <v>0.91500000000000004</v>
      </c>
      <c r="H59">
        <f t="shared" si="2"/>
        <v>0.95</v>
      </c>
    </row>
    <row r="60" spans="1:8" x14ac:dyDescent="0.25">
      <c r="D60">
        <v>10</v>
      </c>
      <c r="E60">
        <f t="shared" si="0"/>
        <v>8.5</v>
      </c>
      <c r="F60">
        <v>10</v>
      </c>
      <c r="G60">
        <f t="shared" si="1"/>
        <v>0.91500000000000004</v>
      </c>
      <c r="H60">
        <f t="shared" si="2"/>
        <v>0.9</v>
      </c>
    </row>
    <row r="61" spans="1:8" x14ac:dyDescent="0.25">
      <c r="D61">
        <v>10</v>
      </c>
      <c r="E61">
        <f t="shared" si="0"/>
        <v>8.5</v>
      </c>
      <c r="F61">
        <v>25</v>
      </c>
      <c r="G61">
        <f t="shared" si="1"/>
        <v>0.91500000000000004</v>
      </c>
      <c r="H61">
        <f t="shared" si="2"/>
        <v>0.75</v>
      </c>
    </row>
    <row r="62" spans="1:8" x14ac:dyDescent="0.25">
      <c r="D62">
        <v>10</v>
      </c>
      <c r="E62">
        <f t="shared" si="0"/>
        <v>8.5</v>
      </c>
      <c r="F62">
        <v>50</v>
      </c>
      <c r="G62">
        <f t="shared" si="1"/>
        <v>0.91500000000000004</v>
      </c>
      <c r="H62">
        <f t="shared" si="2"/>
        <v>0.5</v>
      </c>
    </row>
    <row r="63" spans="1:8" x14ac:dyDescent="0.25">
      <c r="D63">
        <v>10</v>
      </c>
      <c r="E63">
        <f t="shared" si="0"/>
        <v>8.5</v>
      </c>
      <c r="F63">
        <v>75</v>
      </c>
      <c r="G63">
        <f t="shared" si="1"/>
        <v>0.91500000000000004</v>
      </c>
      <c r="H63">
        <f t="shared" si="2"/>
        <v>0.25</v>
      </c>
    </row>
    <row r="64" spans="1:8" x14ac:dyDescent="0.25">
      <c r="D64">
        <v>10</v>
      </c>
      <c r="E64">
        <f t="shared" si="0"/>
        <v>8.5</v>
      </c>
      <c r="F64">
        <v>90</v>
      </c>
      <c r="G64">
        <f t="shared" si="1"/>
        <v>0.91500000000000004</v>
      </c>
      <c r="H64">
        <f t="shared" si="2"/>
        <v>0.1</v>
      </c>
    </row>
    <row r="65" spans="4:8" x14ac:dyDescent="0.25">
      <c r="D65">
        <v>10</v>
      </c>
      <c r="E65">
        <f t="shared" si="0"/>
        <v>8.5</v>
      </c>
      <c r="F65">
        <v>100</v>
      </c>
      <c r="G65">
        <f t="shared" si="1"/>
        <v>0.91500000000000004</v>
      </c>
      <c r="H65">
        <f t="shared" si="2"/>
        <v>0</v>
      </c>
    </row>
    <row r="66" spans="4:8" x14ac:dyDescent="0.25">
      <c r="D66">
        <v>30</v>
      </c>
      <c r="E66">
        <f t="shared" si="0"/>
        <v>25.5</v>
      </c>
      <c r="F66">
        <v>0</v>
      </c>
      <c r="G66">
        <f t="shared" si="1"/>
        <v>0.745</v>
      </c>
      <c r="H66">
        <f t="shared" si="2"/>
        <v>1</v>
      </c>
    </row>
    <row r="67" spans="4:8" x14ac:dyDescent="0.25">
      <c r="D67">
        <v>30</v>
      </c>
      <c r="E67">
        <f t="shared" ref="E67:E97" si="3">D67*0.85</f>
        <v>25.5</v>
      </c>
      <c r="F67">
        <v>5</v>
      </c>
      <c r="G67">
        <f t="shared" ref="G67:G97" si="4">(100-E67)/100</f>
        <v>0.745</v>
      </c>
      <c r="H67">
        <f t="shared" ref="H67:H97" si="5">(100-F67)/100</f>
        <v>0.95</v>
      </c>
    </row>
    <row r="68" spans="4:8" x14ac:dyDescent="0.25">
      <c r="D68">
        <v>30</v>
      </c>
      <c r="E68">
        <f t="shared" si="3"/>
        <v>25.5</v>
      </c>
      <c r="F68">
        <v>10</v>
      </c>
      <c r="G68">
        <f t="shared" si="4"/>
        <v>0.745</v>
      </c>
      <c r="H68">
        <f t="shared" si="5"/>
        <v>0.9</v>
      </c>
    </row>
    <row r="69" spans="4:8" x14ac:dyDescent="0.25">
      <c r="D69">
        <v>30</v>
      </c>
      <c r="E69">
        <f t="shared" si="3"/>
        <v>25.5</v>
      </c>
      <c r="F69">
        <v>25</v>
      </c>
      <c r="G69">
        <f t="shared" si="4"/>
        <v>0.745</v>
      </c>
      <c r="H69">
        <f t="shared" si="5"/>
        <v>0.75</v>
      </c>
    </row>
    <row r="70" spans="4:8" x14ac:dyDescent="0.25">
      <c r="D70">
        <v>30</v>
      </c>
      <c r="E70">
        <f t="shared" si="3"/>
        <v>25.5</v>
      </c>
      <c r="F70">
        <v>50</v>
      </c>
      <c r="G70">
        <f t="shared" si="4"/>
        <v>0.745</v>
      </c>
      <c r="H70">
        <f t="shared" si="5"/>
        <v>0.5</v>
      </c>
    </row>
    <row r="71" spans="4:8" x14ac:dyDescent="0.25">
      <c r="D71">
        <v>30</v>
      </c>
      <c r="E71">
        <f t="shared" si="3"/>
        <v>25.5</v>
      </c>
      <c r="F71">
        <v>75</v>
      </c>
      <c r="G71">
        <f t="shared" si="4"/>
        <v>0.745</v>
      </c>
      <c r="H71">
        <f t="shared" si="5"/>
        <v>0.25</v>
      </c>
    </row>
    <row r="72" spans="4:8" x14ac:dyDescent="0.25">
      <c r="D72">
        <v>30</v>
      </c>
      <c r="E72">
        <f t="shared" si="3"/>
        <v>25.5</v>
      </c>
      <c r="F72">
        <v>90</v>
      </c>
      <c r="G72">
        <f t="shared" si="4"/>
        <v>0.745</v>
      </c>
      <c r="H72">
        <f t="shared" si="5"/>
        <v>0.1</v>
      </c>
    </row>
    <row r="73" spans="4:8" x14ac:dyDescent="0.25">
      <c r="D73">
        <v>30</v>
      </c>
      <c r="E73">
        <f t="shared" si="3"/>
        <v>25.5</v>
      </c>
      <c r="F73">
        <v>100</v>
      </c>
      <c r="G73">
        <f t="shared" si="4"/>
        <v>0.745</v>
      </c>
      <c r="H73">
        <f t="shared" si="5"/>
        <v>0</v>
      </c>
    </row>
    <row r="74" spans="4:8" x14ac:dyDescent="0.25">
      <c r="D74">
        <v>50</v>
      </c>
      <c r="E74">
        <f t="shared" si="3"/>
        <v>42.5</v>
      </c>
      <c r="F74">
        <v>0</v>
      </c>
      <c r="G74">
        <f t="shared" si="4"/>
        <v>0.57499999999999996</v>
      </c>
      <c r="H74">
        <f t="shared" si="5"/>
        <v>1</v>
      </c>
    </row>
    <row r="75" spans="4:8" x14ac:dyDescent="0.25">
      <c r="D75">
        <v>50</v>
      </c>
      <c r="E75">
        <f t="shared" si="3"/>
        <v>42.5</v>
      </c>
      <c r="F75">
        <v>5</v>
      </c>
      <c r="G75">
        <f t="shared" si="4"/>
        <v>0.57499999999999996</v>
      </c>
      <c r="H75">
        <f t="shared" si="5"/>
        <v>0.95</v>
      </c>
    </row>
    <row r="76" spans="4:8" x14ac:dyDescent="0.25">
      <c r="D76">
        <v>50</v>
      </c>
      <c r="E76">
        <f t="shared" si="3"/>
        <v>42.5</v>
      </c>
      <c r="F76">
        <v>10</v>
      </c>
      <c r="G76">
        <f t="shared" si="4"/>
        <v>0.57499999999999996</v>
      </c>
      <c r="H76">
        <f t="shared" si="5"/>
        <v>0.9</v>
      </c>
    </row>
    <row r="77" spans="4:8" x14ac:dyDescent="0.25">
      <c r="D77">
        <v>50</v>
      </c>
      <c r="E77">
        <f t="shared" si="3"/>
        <v>42.5</v>
      </c>
      <c r="F77">
        <v>25</v>
      </c>
      <c r="G77">
        <f t="shared" si="4"/>
        <v>0.57499999999999996</v>
      </c>
      <c r="H77">
        <f t="shared" si="5"/>
        <v>0.75</v>
      </c>
    </row>
    <row r="78" spans="4:8" x14ac:dyDescent="0.25">
      <c r="D78">
        <v>50</v>
      </c>
      <c r="E78">
        <f t="shared" si="3"/>
        <v>42.5</v>
      </c>
      <c r="F78">
        <v>50</v>
      </c>
      <c r="G78">
        <f t="shared" si="4"/>
        <v>0.57499999999999996</v>
      </c>
      <c r="H78">
        <f t="shared" si="5"/>
        <v>0.5</v>
      </c>
    </row>
    <row r="79" spans="4:8" x14ac:dyDescent="0.25">
      <c r="D79">
        <v>50</v>
      </c>
      <c r="E79">
        <f t="shared" si="3"/>
        <v>42.5</v>
      </c>
      <c r="F79">
        <v>75</v>
      </c>
      <c r="G79">
        <f t="shared" si="4"/>
        <v>0.57499999999999996</v>
      </c>
      <c r="H79">
        <f t="shared" si="5"/>
        <v>0.25</v>
      </c>
    </row>
    <row r="80" spans="4:8" x14ac:dyDescent="0.25">
      <c r="D80">
        <v>50</v>
      </c>
      <c r="E80">
        <f t="shared" si="3"/>
        <v>42.5</v>
      </c>
      <c r="F80">
        <v>90</v>
      </c>
      <c r="G80">
        <f t="shared" si="4"/>
        <v>0.57499999999999996</v>
      </c>
      <c r="H80">
        <f t="shared" si="5"/>
        <v>0.1</v>
      </c>
    </row>
    <row r="81" spans="4:8" x14ac:dyDescent="0.25">
      <c r="D81">
        <v>50</v>
      </c>
      <c r="E81">
        <f t="shared" si="3"/>
        <v>42.5</v>
      </c>
      <c r="F81">
        <v>100</v>
      </c>
      <c r="G81">
        <f t="shared" si="4"/>
        <v>0.57499999999999996</v>
      </c>
      <c r="H81">
        <f t="shared" si="5"/>
        <v>0</v>
      </c>
    </row>
    <row r="82" spans="4:8" x14ac:dyDescent="0.25">
      <c r="D82">
        <v>80</v>
      </c>
      <c r="E82">
        <f t="shared" si="3"/>
        <v>68</v>
      </c>
      <c r="F82">
        <v>0</v>
      </c>
      <c r="G82">
        <f t="shared" si="4"/>
        <v>0.32</v>
      </c>
      <c r="H82">
        <f t="shared" si="5"/>
        <v>1</v>
      </c>
    </row>
    <row r="83" spans="4:8" x14ac:dyDescent="0.25">
      <c r="D83">
        <v>80</v>
      </c>
      <c r="E83">
        <f t="shared" si="3"/>
        <v>68</v>
      </c>
      <c r="F83">
        <v>5</v>
      </c>
      <c r="G83">
        <f t="shared" si="4"/>
        <v>0.32</v>
      </c>
      <c r="H83">
        <f t="shared" si="5"/>
        <v>0.95</v>
      </c>
    </row>
    <row r="84" spans="4:8" x14ac:dyDescent="0.25">
      <c r="D84">
        <v>80</v>
      </c>
      <c r="E84">
        <f t="shared" si="3"/>
        <v>68</v>
      </c>
      <c r="F84">
        <v>10</v>
      </c>
      <c r="G84">
        <f t="shared" si="4"/>
        <v>0.32</v>
      </c>
      <c r="H84">
        <f t="shared" si="5"/>
        <v>0.9</v>
      </c>
    </row>
    <row r="85" spans="4:8" x14ac:dyDescent="0.25">
      <c r="D85">
        <v>80</v>
      </c>
      <c r="E85">
        <f t="shared" si="3"/>
        <v>68</v>
      </c>
      <c r="F85">
        <v>25</v>
      </c>
      <c r="G85">
        <f t="shared" si="4"/>
        <v>0.32</v>
      </c>
      <c r="H85">
        <f t="shared" si="5"/>
        <v>0.75</v>
      </c>
    </row>
    <row r="86" spans="4:8" x14ac:dyDescent="0.25">
      <c r="D86">
        <v>80</v>
      </c>
      <c r="E86">
        <f t="shared" si="3"/>
        <v>68</v>
      </c>
      <c r="F86">
        <v>50</v>
      </c>
      <c r="G86">
        <f t="shared" si="4"/>
        <v>0.32</v>
      </c>
      <c r="H86">
        <f t="shared" si="5"/>
        <v>0.5</v>
      </c>
    </row>
    <row r="87" spans="4:8" x14ac:dyDescent="0.25">
      <c r="D87">
        <v>80</v>
      </c>
      <c r="E87">
        <f t="shared" si="3"/>
        <v>68</v>
      </c>
      <c r="F87">
        <v>75</v>
      </c>
      <c r="G87">
        <f t="shared" si="4"/>
        <v>0.32</v>
      </c>
      <c r="H87">
        <f t="shared" si="5"/>
        <v>0.25</v>
      </c>
    </row>
    <row r="88" spans="4:8" x14ac:dyDescent="0.25">
      <c r="D88">
        <v>80</v>
      </c>
      <c r="E88">
        <f t="shared" si="3"/>
        <v>68</v>
      </c>
      <c r="F88">
        <v>90</v>
      </c>
      <c r="G88">
        <f t="shared" si="4"/>
        <v>0.32</v>
      </c>
      <c r="H88">
        <f t="shared" si="5"/>
        <v>0.1</v>
      </c>
    </row>
    <row r="89" spans="4:8" x14ac:dyDescent="0.25">
      <c r="D89">
        <v>80</v>
      </c>
      <c r="E89">
        <f t="shared" si="3"/>
        <v>68</v>
      </c>
      <c r="F89">
        <v>100</v>
      </c>
      <c r="G89">
        <f t="shared" si="4"/>
        <v>0.32</v>
      </c>
      <c r="H89">
        <f t="shared" si="5"/>
        <v>0</v>
      </c>
    </row>
    <row r="90" spans="4:8" x14ac:dyDescent="0.25">
      <c r="D90">
        <v>100</v>
      </c>
      <c r="E90">
        <f t="shared" si="3"/>
        <v>85</v>
      </c>
      <c r="F90">
        <v>0</v>
      </c>
      <c r="G90">
        <f t="shared" si="4"/>
        <v>0.15</v>
      </c>
      <c r="H90">
        <f t="shared" si="5"/>
        <v>1</v>
      </c>
    </row>
    <row r="91" spans="4:8" x14ac:dyDescent="0.25">
      <c r="D91">
        <v>100</v>
      </c>
      <c r="E91">
        <f t="shared" si="3"/>
        <v>85</v>
      </c>
      <c r="F91">
        <v>5</v>
      </c>
      <c r="G91">
        <f t="shared" si="4"/>
        <v>0.15</v>
      </c>
      <c r="H91">
        <f t="shared" si="5"/>
        <v>0.95</v>
      </c>
    </row>
    <row r="92" spans="4:8" x14ac:dyDescent="0.25">
      <c r="D92">
        <v>100</v>
      </c>
      <c r="E92">
        <f t="shared" si="3"/>
        <v>85</v>
      </c>
      <c r="F92">
        <v>10</v>
      </c>
      <c r="G92">
        <f t="shared" si="4"/>
        <v>0.15</v>
      </c>
      <c r="H92">
        <f t="shared" si="5"/>
        <v>0.9</v>
      </c>
    </row>
    <row r="93" spans="4:8" x14ac:dyDescent="0.25">
      <c r="D93">
        <v>100</v>
      </c>
      <c r="E93">
        <f t="shared" si="3"/>
        <v>85</v>
      </c>
      <c r="F93">
        <v>25</v>
      </c>
      <c r="G93">
        <f t="shared" si="4"/>
        <v>0.15</v>
      </c>
      <c r="H93">
        <f t="shared" si="5"/>
        <v>0.75</v>
      </c>
    </row>
    <row r="94" spans="4:8" x14ac:dyDescent="0.25">
      <c r="D94">
        <v>100</v>
      </c>
      <c r="E94">
        <f t="shared" si="3"/>
        <v>85</v>
      </c>
      <c r="F94">
        <v>50</v>
      </c>
      <c r="G94">
        <f t="shared" si="4"/>
        <v>0.15</v>
      </c>
      <c r="H94">
        <f t="shared" si="5"/>
        <v>0.5</v>
      </c>
    </row>
    <row r="95" spans="4:8" x14ac:dyDescent="0.25">
      <c r="D95">
        <v>100</v>
      </c>
      <c r="E95">
        <f t="shared" si="3"/>
        <v>85</v>
      </c>
      <c r="F95">
        <v>75</v>
      </c>
      <c r="G95">
        <f t="shared" si="4"/>
        <v>0.15</v>
      </c>
      <c r="H95">
        <f t="shared" si="5"/>
        <v>0.25</v>
      </c>
    </row>
    <row r="96" spans="4:8" x14ac:dyDescent="0.25">
      <c r="D96">
        <v>100</v>
      </c>
      <c r="E96">
        <f t="shared" si="3"/>
        <v>85</v>
      </c>
      <c r="F96">
        <v>90</v>
      </c>
      <c r="G96">
        <f t="shared" si="4"/>
        <v>0.15</v>
      </c>
      <c r="H96">
        <f t="shared" si="5"/>
        <v>0.1</v>
      </c>
    </row>
    <row r="97" spans="4:8" x14ac:dyDescent="0.25">
      <c r="D97">
        <v>100</v>
      </c>
      <c r="E97">
        <f t="shared" si="3"/>
        <v>85</v>
      </c>
      <c r="F97">
        <v>100</v>
      </c>
      <c r="G97">
        <f t="shared" si="4"/>
        <v>0.15</v>
      </c>
      <c r="H97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Günthert, Marina</dc:creator>
  <cp:lastModifiedBy>Günthert, Marina</cp:lastModifiedBy>
  <dcterms:created xsi:type="dcterms:W3CDTF">2023-12-20T14:33:32Z</dcterms:created>
  <dcterms:modified xsi:type="dcterms:W3CDTF">2025-08-15T17:55:08Z</dcterms:modified>
</cp:coreProperties>
</file>